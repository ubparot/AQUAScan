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5c04b95ce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967a82818a54fad"/>
    <x:sheet xmlns:r="http://schemas.openxmlformats.org/officeDocument/2006/relationships" name="Pool_Profile" sheetId="2" r:id="Ra0940dd9ad714ee9"/>
    <x:sheet xmlns:r="http://schemas.openxmlformats.org/officeDocument/2006/relationships" name="Pool_Operations" sheetId="3" r:id="Ra9733392e00e484f"/>
    <x:sheet xmlns:r="http://schemas.openxmlformats.org/officeDocument/2006/relationships" name="Pool_Chart_Data" sheetId="4" r:id="R0d2f637f68c7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9">
    <x:font>
      <x:sz val="11"/>
      <x:name val="Carlito"/>
    </x:font>
    <x:font>
      <x:b/>
      <x:sz val="18"/>
      <x:color rgb="FFFFFF"/>
      <x:name val="Carlito"/>
    </x:font>
    <x:font>
      <x:sz val="10"/>
      <x:color rgb="64748B"/>
      <x:name val="Carlito"/>
    </x:font>
    <x:font>
      <x:b/>
      <x:sz val="11"/>
      <x:color rgb="1E293B"/>
      <x:name val="Carlito"/>
    </x:font>
    <x:font>
      <x:b/>
      <x:sz val="16"/>
      <x:color rgb="1D4ED8"/>
      <x:name val="Carlito"/>
    </x:font>
    <x:font>
      <x:sz val="10"/>
      <x:color rgb="1E293B"/>
      <x:name val="Carlito"/>
    </x:font>
    <x:font>
      <x:b/>
      <x:sz val="18"/>
      <x:color rgb="1E293B"/>
      <x:name val="Carlito"/>
    </x:font>
    <x:font>
      <x:b/>
      <x:sz val="10"/>
      <x:color rgb="1E293B"/>
      <x:name val="Carlito"/>
    </x:font>
    <x:font>
      <x:b/>
      <x:sz val="12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FFFFFF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/>
    <x:xf numFmtId="202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202" fontId="5" fillId="5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74e22ee164d87" /><Relationship Type="http://schemas.openxmlformats.org/officeDocument/2006/relationships/theme" Target="/xl/theme/theme1.xml" Id="Rca6fa4f7b40b499f" /><Relationship Type="http://schemas.openxmlformats.org/officeDocument/2006/relationships/sharedStrings" Target="/xl/sharedStrings.xml" Id="Rf27fd62aa6f340ba" /><Relationship Type="http://schemas.openxmlformats.org/officeDocument/2006/relationships/worksheet" Target="/xl/worksheets/sheet1.xml" Id="Re967a82818a54fad" /><Relationship Type="http://schemas.openxmlformats.org/officeDocument/2006/relationships/worksheet" Target="/xl/worksheets/sheet2.xml" Id="Ra0940dd9ad714ee9" /><Relationship Type="http://schemas.openxmlformats.org/officeDocument/2006/relationships/worksheet" Target="/xl/worksheets/sheet3.xml" Id="Ra9733392e00e484f" /><Relationship Type="http://schemas.openxmlformats.org/officeDocument/2006/relationships/worksheet" Target="/xl/worksheets/sheet4.xml" Id="R0d2f637f68c743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4393411afb43eb" /><Relationship Type="http://schemas.openxmlformats.org/officeDocument/2006/relationships/chart" Target="/xl/drawings/charts/chart2.xml" Id="R052f3d17e08748a9" /><Relationship Type="http://schemas.openxmlformats.org/officeDocument/2006/relationships/chart" Target="/xl/drawings/charts/chart3.xml" Id="Rffc8ec9d7f9a4793" /><Relationship Type="http://schemas.openxmlformats.org/officeDocument/2006/relationships/chart" Target="/xl/drawings/charts/chart4.xml" Id="R971f0daec19b44dc" /><Relationship Type="http://schemas.openxmlformats.org/officeDocument/2006/relationships/chart" Target="/xl/drawings/charts/chart5.xml" Id="R6be462084d644558" /><Relationship Type="http://schemas.openxmlformats.org/officeDocument/2006/relationships/chart" Target="/xl/drawings/charts/chart6.xml" Id="R25df85abb1044225" /><Relationship Type="http://schemas.openxmlformats.org/officeDocument/2006/relationships/chart" Target="/xl/drawings/charts/chart7.xml" Id="R981f026d9b3b411f" /><Relationship Type="http://schemas.openxmlformats.org/officeDocument/2006/relationships/chart" Target="/xl/drawings/charts/chart8.xml" Id="R718afe0c42554b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Temperature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Temperature</c:v>
          </c:tx>
          <c:cat>
            <c:strRef>
              <c:f>'Pool_Chart_Data'!$A$2:$A$9</c:f>
              <c:strCache>
                <c:ptCount val="0"/>
              </c:strCache>
            </c:strRef>
          </c:cat>
          <c:val>
            <c:numRef>
              <c:f>'Pool_Chart_Data'!$B$2:$B$9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pH</c:v>
          </c:tx>
          <c:cat>
            <c:strRef>
              <c:f>'Pool_Chart_Data'!$D$2:$D$9</c:f>
              <c:strCache>
                <c:ptCount val="0"/>
              </c:strCache>
            </c:strRef>
          </c:cat>
          <c:val>
            <c:numRef>
              <c:f>'Pool_Chart_Data'!$E$2:$E$9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Dissolved Oxygen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Dissolved Oxygen</c:v>
          </c:tx>
          <c:cat>
            <c:strRef>
              <c:f>'Pool_Chart_Data'!$G$2:$G$9</c:f>
              <c:strCache>
                <c:ptCount val="0"/>
              </c:strCache>
            </c:strRef>
          </c:cat>
          <c:val>
            <c:numRef>
              <c:f>'Pool_Chart_Data'!$H$2:$H$9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Turbidity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Turbidity</c:v>
          </c:tx>
          <c:cat>
            <c:strRef>
              <c:f>'Pool_Chart_Data'!$J$2:$J$9</c:f>
              <c:strCache>
                <c:ptCount val="0"/>
              </c:strCache>
            </c:strRef>
          </c:cat>
          <c:val>
            <c:numRef>
              <c:f>'Pool_Chart_Data'!$K$2:$K$9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Light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Light</c:v>
          </c:tx>
          <c:cat>
            <c:strRef>
              <c:f>'Pool_Chart_Data'!$M$2:$M$9</c:f>
              <c:strCache>
                <c:ptCount val="0"/>
              </c:strCache>
            </c:strRef>
          </c:cat>
          <c:val>
            <c:numRef>
              <c:f>'Pool_Chart_Data'!$N$2:$N$9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UV vs Probe Depth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Ultraviolet</c:v>
          </c:tx>
          <c:cat>
            <c:strRef>
              <c:f>'Pool_Chart_Data'!$P$2:$P$9</c:f>
              <c:strCache>
                <c:ptCount val="0"/>
              </c:strCache>
            </c:strRef>
          </c:cat>
          <c:val>
            <c:numRef>
              <c:f>'Pool_Chart_Data'!$Q$2:$Q$9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Battery vs Elapsed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Battery</c:v>
          </c:tx>
          <c:cat>
            <c:strRef>
              <c:f>'Pool_Chart_Data'!$S$2:$S$9</c:f>
              <c:strCache>
                <c:ptCount val="0"/>
              </c:strCache>
            </c:strRef>
          </c:cat>
          <c:val>
            <c:numRef>
              <c:f>'Pool_Chart_Data'!$T$2:$T$9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Speed vs Elapsed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Vessel Speed</c:v>
          </c:tx>
          <c:cat>
            <c:strRef>
              <c:f>'Pool_Chart_Data'!$V$2:$V$9</c:f>
              <c:strCache>
                <c:ptCount val="0"/>
              </c:strCache>
            </c:strRef>
          </c:cat>
          <c:val>
            <c:numRef>
              <c:f>'Pool_Chart_Data'!$W$2:$W$9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4393411afb43eb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2f3d17e08748a9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c8ec9d7f9a479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1f0daec19b44dc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e462084d644558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f85abb1044225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1f026d9b3b411f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8afe0c42554b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7d5cab838f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4.130000114440918" hidden="0" customWidth="1"/>
    <x:col min="3" max="3" width="2.559999942779541" hidden="0" customWidth="1"/>
    <x:col min="4" max="4" width="11.4399995803833" hidden="0" customWidth="1"/>
    <x:col min="5" max="5" width="11.4399995803833" hidden="0" customWidth="1"/>
    <x:col min="6" max="6" width="2.559999942779541" hidden="0" customWidth="1"/>
    <x:col min="7" max="7" width="18.170000076293945" hidden="0" customWidth="1"/>
    <x:col min="8" max="8" width="18.170000076293945" hidden="0" customWidth="1"/>
    <x:col min="9" max="9" width="2.559999942779541" hidden="0" customWidth="1"/>
    <x:col min="10" max="10" width="18.170000076293945" hidden="0" customWidth="1"/>
    <x:col min="11" max="11" width="18.170000076293945" hidden="0" customWidth="1"/>
    <x:col min="12" max="12" width="2.559999942779541" hidden="0" customWidth="1"/>
    <x:col min="13" max="13" width="18.170000076293945" hidden="0" customWidth="1"/>
    <x:col min="14" max="14" width="18.170000076293945" hidden="0" customWidth="1"/>
  </x:cols>
  <x:sheetData>
    <x:row r="1">
      <x:c r="A1" s="4" t="str">
        <x:v>AquaScan Pool Graph Workbook</x:v>
      </x:c>
      <x:c r="B1" s="4" t="str">
        <x:v>AquaScan Pool Graph Workbook</x:v>
      </x:c>
      <x:c r="C1" s="4" t="str">
        <x:v>AquaScan Pool Graph Workbook</x:v>
      </x:c>
      <x:c r="D1" s="4" t="str">
        <x:v>AquaScan Pool Graph Workbook</x:v>
      </x:c>
      <x:c r="E1" s="4" t="str">
        <x:v>AquaScan Pool Graph Workbook</x:v>
      </x:c>
      <x:c r="F1" s="4" t="str">
        <x:v>AquaScan Pool Graph Workbook</x:v>
      </x:c>
      <x:c r="G1" s="4" t="str">
        <x:v>AquaScan Pool Graph Workbook</x:v>
      </x:c>
      <x:c r="H1" s="4" t="str">
        <x:v>AquaScan Pool Graph Workbook</x:v>
      </x:c>
      <x:c r="I1" s="4" t="str">
        <x:v>AquaScan Pool Graph Workbook</x:v>
      </x:c>
      <x:c r="J1" s="4" t="str">
        <x:v>AquaScan Pool Graph Workbook</x:v>
      </x:c>
      <x:c r="K1" s="4" t="str">
        <x:v>AquaScan Pool Graph Workbook</x:v>
      </x:c>
      <x:c r="L1" s="4" t="str">
        <x:v>AquaScan Pool Graph Workbook</x:v>
      </x:c>
      <x:c r="M1" s="4" t="str">
        <x:v>AquaScan Pool Graph Workbook</x:v>
      </x:c>
      <x:c r="N1" s="4" t="str">
        <x:v>AquaScan Pool Graph Workbook</x:v>
      </x:c>
    </x:row>
    <x:row r="2">
      <x:c r="A2" s="4" t="str">
        <x:v>AquaScan Pool Graph Workbook</x:v>
      </x:c>
      <x:c r="B2" s="4" t="str">
        <x:v>AquaScan Pool Graph Workbook</x:v>
      </x:c>
      <x:c r="C2" s="4" t="str">
        <x:v>AquaScan Pool Graph Workbook</x:v>
      </x:c>
      <x:c r="D2" s="4" t="str">
        <x:v>AquaScan Pool Graph Workbook</x:v>
      </x:c>
      <x:c r="E2" s="4" t="str">
        <x:v>AquaScan Pool Graph Workbook</x:v>
      </x:c>
      <x:c r="F2" s="4" t="str">
        <x:v>AquaScan Pool Graph Workbook</x:v>
      </x:c>
      <x:c r="G2" s="4" t="str">
        <x:v>AquaScan Pool Graph Workbook</x:v>
      </x:c>
      <x:c r="H2" s="4" t="str">
        <x:v>AquaScan Pool Graph Workbook</x:v>
      </x:c>
      <x:c r="I2" s="4" t="str">
        <x:v>AquaScan Pool Graph Workbook</x:v>
      </x:c>
      <x:c r="J2" s="4" t="str">
        <x:v>AquaScan Pool Graph Workbook</x:v>
      </x:c>
      <x:c r="K2" s="4" t="str">
        <x:v>AquaScan Pool Graph Workbook</x:v>
      </x:c>
      <x:c r="L2" s="4" t="str">
        <x:v>AquaScan Pool Graph Workbook</x:v>
      </x:c>
      <x:c r="M2" s="4" t="str">
        <x:v>AquaScan Pool Graph Workbook</x:v>
      </x:c>
      <x:c r="N2" s="4" t="str">
        <x:v>AquaScan Pool Graph Workbook</x:v>
      </x:c>
    </x:row>
    <x:row r="3">
      <x:c r="A3" s="7" t="str">
        <x:v>Profile charts mirror the pool graph PNG set. Operations sheet tracks battery, heading, and vessel speed over elapsed time.</x:v>
      </x:c>
      <x:c r="B3" s="7" t="str">
        <x:v>Profile charts mirror the pool graph PNG set. Operations sheet tracks battery, heading, and vessel speed over elapsed time.</x:v>
      </x:c>
      <x:c r="C3" s="7" t="str">
        <x:v>Profile charts mirror the pool graph PNG set. Operations sheet tracks battery, heading, and vessel speed over elapsed time.</x:v>
      </x:c>
      <x:c r="D3" s="7" t="str">
        <x:v>Profile charts mirror the pool graph PNG set. Operations sheet tracks battery, heading, and vessel speed over elapsed time.</x:v>
      </x:c>
      <x:c r="E3" s="7" t="str">
        <x:v>Profile charts mirror the pool graph PNG set. Operations sheet tracks battery, heading, and vessel speed over elapsed time.</x:v>
      </x:c>
      <x:c r="F3" s="7" t="str">
        <x:v>Profile charts mirror the pool graph PNG set. Operations sheet tracks battery, heading, and vessel speed over elapsed time.</x:v>
      </x:c>
      <x:c r="G3" s="7" t="str">
        <x:v>Profile charts mirror the pool graph PNG set. Operations sheet tracks battery, heading, and vessel speed over elapsed time.</x:v>
      </x:c>
      <x:c r="H3" s="7" t="str">
        <x:v>Profile charts mirror the pool graph PNG set. Operations sheet tracks battery, heading, and vessel speed over elapsed time.</x:v>
      </x:c>
      <x:c r="I3" s="7" t="str">
        <x:v>Profile charts mirror the pool graph PNG set. Operations sheet tracks battery, heading, and vessel speed over elapsed time.</x:v>
      </x:c>
      <x:c r="J3" s="7" t="str">
        <x:v>Profile charts mirror the pool graph PNG set. Operations sheet tracks battery, heading, and vessel speed over elapsed time.</x:v>
      </x:c>
      <x:c r="K3" s="7" t="str">
        <x:v>Profile charts mirror the pool graph PNG set. Operations sheet tracks battery, heading, and vessel speed over elapsed time.</x:v>
      </x:c>
      <x:c r="L3" s="7" t="str">
        <x:v>Profile charts mirror the pool graph PNG set. Operations sheet tracks battery, heading, and vessel speed over elapsed time.</x:v>
      </x:c>
      <x:c r="M3" s="7" t="str">
        <x:v>Profile charts mirror the pool graph PNG set. Operations sheet tracks battery, heading, and vessel speed over elapsed time.</x:v>
      </x:c>
      <x:c r="N3" s="7" t="str">
        <x:v>Profile charts mirror the pool graph PNG set. Operations sheet tracks battery, heading, and vessel speed over elapsed time.</x:v>
      </x:c>
    </x:row>
    <x:row r="5">
      <x:c r="A5" s="9" t="str">
        <x:v>Profile Samples</x:v>
      </x:c>
      <x:c r="B5" s="9" t="str">
        <x:v>Profile Samples</x:v>
      </x:c>
      <x:c r="D5" s="34" t="str">
        <x:v>Pool Profile Charts</x:v>
      </x:c>
      <x:c r="E5" s="34" t="str">
        <x:v>Pool Profile Charts</x:v>
      </x:c>
      <x:c r="F5" s="34" t="str">
        <x:v>Pool Profile Charts</x:v>
      </x:c>
      <x:c r="G5" s="34" t="str">
        <x:v>Pool Profile Charts</x:v>
      </x:c>
      <x:c r="H5" s="34" t="str">
        <x:v>Pool Profile Charts</x:v>
      </x:c>
      <x:c r="I5" s="34" t="str">
        <x:v>Pool Profile Charts</x:v>
      </x:c>
      <x:c r="J5" s="34" t="str">
        <x:v>Pool Profile Charts</x:v>
      </x:c>
      <x:c r="K5" s="34" t="str">
        <x:v>Pool Profile Charts</x:v>
      </x:c>
      <x:c r="L5" s="34" t="str">
        <x:v>Pool Profile Charts</x:v>
      </x:c>
      <x:c r="M5" s="34" t="str">
        <x:v>Pool Profile Charts</x:v>
      </x:c>
      <x:c r="N5" s="34" t="str">
        <x:v>Pool Profile Charts</x:v>
      </x:c>
    </x:row>
    <x:row r="6">
      <x:c r="A6" s="14" t="n">
        <x:f>COUNTA(Pool_Profile!A5:A200)</x:f>
        <x:v>8</x:v>
      </x:c>
      <x:c r="B6" s="14"/>
    </x:row>
    <x:row r="7">
      <x:c r="A7" s="14"/>
      <x:c r="B7" s="14"/>
    </x:row>
    <x:row r="9">
      <x:c r="A9" s="9" t="str">
        <x:v>Min Depth (m)</x:v>
      </x:c>
      <x:c r="B9" s="9" t="str">
        <x:v>Min Depth (m)</x:v>
      </x:c>
    </x:row>
    <x:row r="10">
      <x:c r="A10" s="17" t="n">
        <x:f>MIN(Pool_Profile!A5:A200)</x:f>
        <x:v>0.3</x:v>
      </x:c>
      <x:c r="B10" s="17"/>
    </x:row>
    <x:row r="11">
      <x:c r="A11" s="17"/>
      <x:c r="B11" s="17"/>
    </x:row>
    <x:row r="13">
      <x:c r="A13" s="9" t="str">
        <x:v>Max Depth (m)</x:v>
      </x:c>
      <x:c r="B13" s="9" t="str">
        <x:v>Max Depth (m)</x:v>
      </x:c>
    </x:row>
    <x:row r="14">
      <x:c r="A14" s="17" t="n">
        <x:f>MAX(Pool_Profile!A5:A200)</x:f>
        <x:v>2.4</x:v>
      </x:c>
      <x:c r="B14" s="17"/>
    </x:row>
    <x:row r="15">
      <x:c r="A15" s="17"/>
      <x:c r="B15" s="17"/>
    </x:row>
    <x:row r="17">
      <x:c r="A17" s="9" t="str">
        <x:v>Avg pH</x:v>
      </x:c>
      <x:c r="B17" s="9" t="str">
        <x:v>Avg pH</x:v>
      </x:c>
    </x:row>
    <x:row r="18">
      <x:c r="A18" s="20" t="n">
        <x:f>AVERAGE(Pool_Profile!C5:C200)</x:f>
        <x:v>7.4399999999999995</x:v>
      </x:c>
      <x:c r="B18" s="20"/>
    </x:row>
    <x:row r="19">
      <x:c r="A19" s="20"/>
      <x:c r="B19" s="20"/>
    </x:row>
    <x:row r="21">
      <x:c r="A21" s="9" t="str">
        <x:v>Avg Turbidity</x:v>
      </x:c>
      <x:c r="B21" s="9" t="str">
        <x:v>Avg Turbidity</x:v>
      </x:c>
    </x:row>
    <x:row r="22">
      <x:c r="A22" s="20" t="n">
        <x:f>AVERAGE(Pool_Profile!H5:H200)</x:f>
        <x:v>0.26375000000000004</x:v>
      </x:c>
      <x:c r="B22" s="20"/>
    </x:row>
    <x:row r="23">
      <x:c r="A23" s="20"/>
      <x:c r="B23" s="20"/>
    </x:row>
    <x:row r="37">
      <x:c r="D37" s="34" t="str">
        <x:v>Light / UV / Operations</x:v>
      </x:c>
      <x:c r="E37" s="34" t="str">
        <x:v>Light / UV / Operations</x:v>
      </x:c>
      <x:c r="F37" s="34" t="str">
        <x:v>Light / UV / Operations</x:v>
      </x:c>
      <x:c r="G37" s="34" t="str">
        <x:v>Light / UV / Operations</x:v>
      </x:c>
      <x:c r="H37" s="34" t="str">
        <x:v>Light / UV / Operations</x:v>
      </x:c>
      <x:c r="I37" s="34" t="str">
        <x:v>Light / UV / Operations</x:v>
      </x:c>
      <x:c r="J37" s="34" t="str">
        <x:v>Light / UV / Operations</x:v>
      </x:c>
      <x:c r="K37" s="34" t="str">
        <x:v>Light / UV / Operations</x:v>
      </x:c>
      <x:c r="L37" s="34" t="str">
        <x:v>Light / UV / Operations</x:v>
      </x:c>
      <x:c r="M37" s="34" t="str">
        <x:v>Light / UV / Operations</x:v>
      </x:c>
      <x:c r="N37" s="34" t="str">
        <x:v>Light / UV / Operations</x:v>
      </x:c>
    </x:row>
  </x:sheetData>
  <x:mergeCells>
    <x:mergeCell ref="A1:N2"/>
    <x:mergeCell ref="A3:N3"/>
    <x:mergeCell ref="A5:B5"/>
    <x:mergeCell ref="A6:B7"/>
    <x:mergeCell ref="A9:B9"/>
    <x:mergeCell ref="A10:B11"/>
    <x:mergeCell ref="A13:B13"/>
    <x:mergeCell ref="A14:B15"/>
    <x:mergeCell ref="A17:B17"/>
    <x:mergeCell ref="A18:B19"/>
    <x:mergeCell ref="A21:B21"/>
    <x:mergeCell ref="A22:B23"/>
    <x:mergeCell ref="D5:N5"/>
    <x:mergeCell ref="D37:N37"/>
  </x:mergeCells>
  <x:pageMargins left="0.7" right="0.7" top="0.75" bottom="0.75" header="0.3" footer="0.3"/>
  <x:drawing xmlns:r="http://schemas.openxmlformats.org/officeDocument/2006/relationships" r:id="R6a7d5cab838f4e3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89999961853027" hidden="0" customWidth="1"/>
    <x:col min="2" max="2" width="14.130000114440918" hidden="0" customWidth="1"/>
    <x:col min="3" max="3" width="11.4399995803833" hidden="0" customWidth="1"/>
    <x:col min="4" max="4" width="15.479999542236328" hidden="0" customWidth="1"/>
    <x:col min="5" max="5" width="11.4399995803833" hidden="0" customWidth="1"/>
    <x:col min="6" max="6" width="15.479999542236328" hidden="0" customWidth="1"/>
    <x:col min="7" max="7" width="15.479999542236328" hidden="0" customWidth="1"/>
    <x:col min="8" max="8" width="14.130000114440918" hidden="0" customWidth="1"/>
    <x:col min="9" max="9" width="12.789999961853027" hidden="0" customWidth="1"/>
    <x:col min="10" max="10" width="12.789999961853027" hidden="0" customWidth="1"/>
  </x:cols>
  <x:sheetData>
    <x:row r="1">
      <x:c r="A1" s="4" t="str">
        <x:v>Pool Profile Data</x:v>
      </x:c>
      <x:c r="B1" s="4" t="str">
        <x:v>Pool Profile Data</x:v>
      </x:c>
      <x:c r="C1" s="4" t="str">
        <x:v>Pool Profile Data</x:v>
      </x:c>
      <x:c r="D1" s="4" t="str">
        <x:v>Pool Profile Data</x:v>
      </x:c>
      <x:c r="E1" s="4" t="str">
        <x:v>Pool Profile Data</x:v>
      </x:c>
      <x:c r="F1" s="4" t="str">
        <x:v>Pool Profile Data</x:v>
      </x:c>
      <x:c r="G1" s="4" t="str">
        <x:v>Pool Profile Data</x:v>
      </x:c>
      <x:c r="H1" s="4" t="str">
        <x:v>Pool Profile Data</x:v>
      </x:c>
      <x:c r="I1" s="4" t="str">
        <x:v>Pool Profile Data</x:v>
      </x:c>
      <x:c r="J1" s="4" t="str">
        <x:v>Pool Profile Data</x:v>
      </x:c>
    </x:row>
    <x:row r="2">
      <x:c r="A2" s="4" t="str">
        <x:v>Pool Profile Data</x:v>
      </x:c>
      <x:c r="B2" s="4" t="str">
        <x:v>Pool Profile Data</x:v>
      </x:c>
      <x:c r="C2" s="4" t="str">
        <x:v>Pool Profile Data</x:v>
      </x:c>
      <x:c r="D2" s="4" t="str">
        <x:v>Pool Profile Data</x:v>
      </x:c>
      <x:c r="E2" s="4" t="str">
        <x:v>Pool Profile Data</x:v>
      </x:c>
      <x:c r="F2" s="4" t="str">
        <x:v>Pool Profile Data</x:v>
      </x:c>
      <x:c r="G2" s="4" t="str">
        <x:v>Pool Profile Data</x:v>
      </x:c>
      <x:c r="H2" s="4" t="str">
        <x:v>Pool Profile Data</x:v>
      </x:c>
      <x:c r="I2" s="4" t="str">
        <x:v>Pool Profile Data</x:v>
      </x:c>
      <x:c r="J2" s="4" t="str">
        <x:v>Pool Profile Data</x:v>
      </x:c>
    </x:row>
    <x:row r="4">
      <x:c r="A4" s="22" t="str">
        <x:v>Probe Depth (m)</x:v>
      </x:c>
      <x:c r="B4" s="22" t="str">
        <x:v>Temperature</x:v>
      </x:c>
      <x:c r="C4" s="22" t="str">
        <x:v>pH</x:v>
      </x:c>
      <x:c r="D4" s="22" t="str">
        <x:v>Dissolved Oxygen</x:v>
      </x:c>
      <x:c r="E4" s="22" t="str">
        <x:v>Salinity</x:v>
      </x:c>
      <x:c r="F4" s="22" t="str">
        <x:v>TDS</x:v>
      </x:c>
      <x:c r="G4" s="22" t="str">
        <x:v>Conductivity</x:v>
      </x:c>
      <x:c r="H4" s="22" t="str">
        <x:v>Turbidity</x:v>
      </x:c>
      <x:c r="I4" s="22" t="str">
        <x:v>Light</x:v>
      </x:c>
      <x:c r="J4" s="22" t="str">
        <x:v>UV</x:v>
      </x:c>
    </x:row>
    <x:row r="5">
      <x:c r="A5" s="24" t="n">
        <x:v>0.3</x:v>
      </x:c>
      <x:c r="B5" s="24" t="n">
        <x:v>24.6</x:v>
      </x:c>
      <x:c r="C5" s="24" t="n">
        <x:v>7.49</x:v>
      </x:c>
      <x:c r="D5" s="24" t="n">
        <x:v>7.82</x:v>
      </x:c>
      <x:c r="E5" s="24" t="n">
        <x:v>0.02</x:v>
      </x:c>
      <x:c r="F5" s="24" t="n">
        <x:v>420</x:v>
      </x:c>
      <x:c r="G5" s="24" t="n">
        <x:v>840</x:v>
      </x:c>
      <x:c r="H5" s="24" t="n">
        <x:v>0.18</x:v>
      </x:c>
      <x:c r="I5" s="25" t="n">
        <x:v>944</x:v>
      </x:c>
      <x:c r="J5" s="24" t="n">
        <x:v>1.52</x:v>
      </x:c>
    </x:row>
    <x:row r="6">
      <x:c r="A6" s="24" t="n">
        <x:v>0.6</x:v>
      </x:c>
      <x:c r="B6" s="24" t="n">
        <x:v>24.52</x:v>
      </x:c>
      <x:c r="C6" s="24" t="n">
        <x:v>7.5</x:v>
      </x:c>
      <x:c r="D6" s="24" t="n">
        <x:v>7.79</x:v>
      </x:c>
      <x:c r="E6" s="24" t="n">
        <x:v>0.02</x:v>
      </x:c>
      <x:c r="F6" s="24" t="n">
        <x:v>426</x:v>
      </x:c>
      <x:c r="G6" s="24" t="n">
        <x:v>852</x:v>
      </x:c>
      <x:c r="H6" s="24" t="n">
        <x:v>0.21</x:v>
      </x:c>
      <x:c r="I6" s="25" t="n">
        <x:v>892</x:v>
      </x:c>
      <x:c r="J6" s="24" t="n">
        <x:v>1.36</x:v>
      </x:c>
    </x:row>
    <x:row r="7">
      <x:c r="A7" s="24" t="n">
        <x:v>0.9</x:v>
      </x:c>
      <x:c r="B7" s="24" t="n">
        <x:v>24.38</x:v>
      </x:c>
      <x:c r="C7" s="24" t="n">
        <x:v>7.47</x:v>
      </x:c>
      <x:c r="D7" s="24" t="n">
        <x:v>7.81</x:v>
      </x:c>
      <x:c r="E7" s="24" t="n">
        <x:v>0.02</x:v>
      </x:c>
      <x:c r="F7" s="24" t="n">
        <x:v>423</x:v>
      </x:c>
      <x:c r="G7" s="24" t="n">
        <x:v>846</x:v>
      </x:c>
      <x:c r="H7" s="24" t="n">
        <x:v>0.19</x:v>
      </x:c>
      <x:c r="I7" s="25" t="n">
        <x:v>968</x:v>
      </x:c>
      <x:c r="J7" s="24" t="n">
        <x:v>1.08</x:v>
      </x:c>
    </x:row>
    <x:row r="8">
      <x:c r="A8" s="24" t="n">
        <x:v>1.2</x:v>
      </x:c>
      <x:c r="B8" s="24" t="n">
        <x:v>24.27</x:v>
      </x:c>
      <x:c r="C8" s="24" t="n">
        <x:v>7.45</x:v>
      </x:c>
      <x:c r="D8" s="24" t="n">
        <x:v>7.74</x:v>
      </x:c>
      <x:c r="E8" s="24" t="n">
        <x:v>0.02</x:v>
      </x:c>
      <x:c r="F8" s="24" t="n">
        <x:v>435</x:v>
      </x:c>
      <x:c r="G8" s="24" t="n">
        <x:v>870</x:v>
      </x:c>
      <x:c r="H8" s="24" t="n">
        <x:v>0.24</x:v>
      </x:c>
      <x:c r="I8" s="25" t="n">
        <x:v>742</x:v>
      </x:c>
      <x:c r="J8" s="24" t="n">
        <x:v>0.92</x:v>
      </x:c>
    </x:row>
    <x:row r="9">
      <x:c r="A9" s="24" t="n">
        <x:v>1.5</x:v>
      </x:c>
      <x:c r="B9" s="24" t="n">
        <x:v>24.04</x:v>
      </x:c>
      <x:c r="C9" s="24" t="n">
        <x:v>7.42</x:v>
      </x:c>
      <x:c r="D9" s="24" t="n">
        <x:v>7.71</x:v>
      </x:c>
      <x:c r="E9" s="24" t="n">
        <x:v>0.02</x:v>
      </x:c>
      <x:c r="F9" s="24" t="n">
        <x:v>441</x:v>
      </x:c>
      <x:c r="G9" s="24" t="n">
        <x:v>882</x:v>
      </x:c>
      <x:c r="H9" s="24" t="n">
        <x:v>0.28</x:v>
      </x:c>
      <x:c r="I9" s="25" t="n">
        <x:v>804</x:v>
      </x:c>
      <x:c r="J9" s="24" t="n">
        <x:v>0.55</x:v>
      </x:c>
    </x:row>
    <x:row r="10">
      <x:c r="A10" s="24" t="n">
        <x:v>1.8</x:v>
      </x:c>
      <x:c r="B10" s="24" t="n">
        <x:v>23.96</x:v>
      </x:c>
      <x:c r="C10" s="24" t="n">
        <x:v>7.43</x:v>
      </x:c>
      <x:c r="D10" s="24" t="n">
        <x:v>7.68</x:v>
      </x:c>
      <x:c r="E10" s="24" t="n">
        <x:v>0.02</x:v>
      </x:c>
      <x:c r="F10" s="24" t="n">
        <x:v>449</x:v>
      </x:c>
      <x:c r="G10" s="24" t="n">
        <x:v>898</x:v>
      </x:c>
      <x:c r="H10" s="24" t="n">
        <x:v>0.33</x:v>
      </x:c>
      <x:c r="I10" s="25" t="n">
        <x:v>518</x:v>
      </x:c>
      <x:c r="J10" s="24" t="n">
        <x:v>0.73</x:v>
      </x:c>
    </x:row>
    <x:row r="11">
      <x:c r="A11" s="24" t="n">
        <x:v>2.1</x:v>
      </x:c>
      <x:c r="B11" s="24" t="n">
        <x:v>23.81</x:v>
      </x:c>
      <x:c r="C11" s="24" t="n">
        <x:v>7.39</x:v>
      </x:c>
      <x:c r="D11" s="24" t="n">
        <x:v>7.66</x:v>
      </x:c>
      <x:c r="E11" s="24" t="n">
        <x:v>0.02</x:v>
      </x:c>
      <x:c r="F11" s="24" t="n">
        <x:v>455</x:v>
      </x:c>
      <x:c r="G11" s="24" t="n">
        <x:v>910</x:v>
      </x:c>
      <x:c r="H11" s="24" t="n">
        <x:v>0.31</x:v>
      </x:c>
      <x:c r="I11" s="25" t="n">
        <x:v>576</x:v>
      </x:c>
      <x:c r="J11" s="24" t="n">
        <x:v>0.27</x:v>
      </x:c>
    </x:row>
    <x:row r="12">
      <x:c r="A12" s="24" t="n">
        <x:v>2.4</x:v>
      </x:c>
      <x:c r="B12" s="24" t="n">
        <x:v>23.74</x:v>
      </x:c>
      <x:c r="C12" s="24" t="n">
        <x:v>7.37</x:v>
      </x:c>
      <x:c r="D12" s="24" t="n">
        <x:v>7.62</x:v>
      </x:c>
      <x:c r="E12" s="24" t="n">
        <x:v>0.02</x:v>
      </x:c>
      <x:c r="F12" s="24" t="n">
        <x:v>463</x:v>
      </x:c>
      <x:c r="G12" s="24" t="n">
        <x:v>926</x:v>
      </x:c>
      <x:c r="H12" s="24" t="n">
        <x:v>0.37</x:v>
      </x:c>
      <x:c r="I12" s="25" t="n">
        <x:v>462</x:v>
      </x:c>
      <x:c r="J12" s="24" t="n">
        <x:v>0.41</x:v>
      </x:c>
    </x:row>
  </x:sheetData>
  <x:mergeCells>
    <x:mergeCell ref="A1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5.479999542236328" hidden="0" customWidth="1"/>
    <x:col min="3" max="3" width="12.789999961853027" hidden="0" customWidth="1"/>
    <x:col min="4" max="4" width="12.789999961853027" hidden="0" customWidth="1"/>
    <x:col min="5" max="5" width="12.789999961853027" hidden="0" customWidth="1"/>
  </x:cols>
  <x:sheetData>
    <x:row r="1">
      <x:c r="A1" s="4" t="str">
        <x:v>Pool Operations Data</x:v>
      </x:c>
      <x:c r="B1" s="4" t="str">
        <x:v>Pool Operations Data</x:v>
      </x:c>
      <x:c r="C1" s="4" t="str">
        <x:v>Pool Operations Data</x:v>
      </x:c>
      <x:c r="D1" s="4" t="str">
        <x:v>Pool Operations Data</x:v>
      </x:c>
      <x:c r="E1" s="4" t="str">
        <x:v>Pool Operations Data</x:v>
      </x:c>
    </x:row>
    <x:row r="2">
      <x:c r="A2" s="4" t="str">
        <x:v>Pool Operations Data</x:v>
      </x:c>
      <x:c r="B2" s="4" t="str">
        <x:v>Pool Operations Data</x:v>
      </x:c>
      <x:c r="C2" s="4" t="str">
        <x:v>Pool Operations Data</x:v>
      </x:c>
      <x:c r="D2" s="4" t="str">
        <x:v>Pool Operations Data</x:v>
      </x:c>
      <x:c r="E2" s="4" t="str">
        <x:v>Pool Operations Data</x:v>
      </x:c>
    </x:row>
    <x:row r="4">
      <x:c r="A4" s="22" t="str">
        <x:v>Sample</x:v>
      </x:c>
      <x:c r="B4" s="22" t="str">
        <x:v>Elapsed Time (s)</x:v>
      </x:c>
      <x:c r="C4" s="22" t="str">
        <x:v>Battery (%)</x:v>
      </x:c>
      <x:c r="D4" s="22" t="str">
        <x:v>Vessel Speed (m/s)</x:v>
      </x:c>
      <x:c r="E4" s="22" t="str">
        <x:v>Heading (deg)</x:v>
      </x:c>
    </x:row>
    <x:row r="5">
      <x:c r="A5" s="25" t="n">
        <x:v>1</x:v>
      </x:c>
      <x:c r="B5" s="25" t="n">
        <x:v>0</x:v>
      </x:c>
      <x:c r="C5" s="24" t="n">
        <x:v>98</x:v>
      </x:c>
      <x:c r="D5" s="26" t="n">
        <x:v>0.09</x:v>
      </x:c>
      <x:c r="E5" s="25" t="n">
        <x:v>0</x:v>
      </x:c>
    </x:row>
    <x:row r="6">
      <x:c r="A6" s="25" t="n">
        <x:v>2</x:v>
      </x:c>
      <x:c r="B6" s="25" t="n">
        <x:v>10</x:v>
      </x:c>
      <x:c r="C6" s="24" t="n">
        <x:v>97.9</x:v>
      </x:c>
      <x:c r="D6" s="26" t="n">
        <x:v>0.12</x:v>
      </x:c>
      <x:c r="E6" s="25" t="n">
        <x:v>12</x:v>
      </x:c>
    </x:row>
    <x:row r="7">
      <x:c r="A7" s="25" t="n">
        <x:v>3</x:v>
      </x:c>
      <x:c r="B7" s="25" t="n">
        <x:v>20</x:v>
      </x:c>
      <x:c r="C7" s="24" t="n">
        <x:v>97.3</x:v>
      </x:c>
      <x:c r="D7" s="26" t="n">
        <x:v>0.1</x:v>
      </x:c>
      <x:c r="E7" s="25" t="n">
        <x:v>20</x:v>
      </x:c>
    </x:row>
    <x:row r="8">
      <x:c r="A8" s="25" t="n">
        <x:v>4</x:v>
      </x:c>
      <x:c r="B8" s="25" t="n">
        <x:v>30</x:v>
      </x:c>
      <x:c r="C8" s="24" t="n">
        <x:v>97.1</x:v>
      </x:c>
      <x:c r="D8" s="26" t="n">
        <x:v>0.14</x:v>
      </x:c>
      <x:c r="E8" s="25" t="n">
        <x:v>30</x:v>
      </x:c>
    </x:row>
    <x:row r="9">
      <x:c r="A9" s="25" t="n">
        <x:v>5</x:v>
      </x:c>
      <x:c r="B9" s="25" t="n">
        <x:v>40</x:v>
      </x:c>
      <x:c r="C9" s="24" t="n">
        <x:v>96.6</x:v>
      </x:c>
      <x:c r="D9" s="26" t="n">
        <x:v>0.11</x:v>
      </x:c>
      <x:c r="E9" s="25" t="n">
        <x:v>42</x:v>
      </x:c>
    </x:row>
    <x:row r="10">
      <x:c r="A10" s="25" t="n">
        <x:v>6</x:v>
      </x:c>
      <x:c r="B10" s="25" t="n">
        <x:v>50</x:v>
      </x:c>
      <x:c r="C10" s="24" t="n">
        <x:v>96.2</x:v>
      </x:c>
      <x:c r="D10" s="26" t="n">
        <x:v>0.15</x:v>
      </x:c>
      <x:c r="E10" s="25" t="n">
        <x:v>55</x:v>
      </x:c>
    </x:row>
    <x:row r="11">
      <x:c r="A11" s="25" t="n">
        <x:v>7</x:v>
      </x:c>
      <x:c r="B11" s="25" t="n">
        <x:v>60</x:v>
      </x:c>
      <x:c r="C11" s="24" t="n">
        <x:v>95.8</x:v>
      </x:c>
      <x:c r="D11" s="26" t="n">
        <x:v>0.13</x:v>
      </x:c>
      <x:c r="E11" s="25" t="n">
        <x:v>68</x:v>
      </x:c>
    </x:row>
    <x:row r="12">
      <x:c r="A12" s="25" t="n">
        <x:v>8</x:v>
      </x:c>
      <x:c r="B12" s="25" t="n">
        <x:v>70</x:v>
      </x:c>
      <x:c r="C12" s="24" t="n">
        <x:v>95.4</x:v>
      </x:c>
      <x:c r="D12" s="26" t="n">
        <x:v>0.16</x:v>
      </x:c>
      <x:c r="E12" s="25" t="n">
        <x:v>80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10000038146973" hidden="0" customWidth="1"/>
    <x:col min="2" max="2" width="11.710000038146973" hidden="0" customWidth="1"/>
    <x:col min="3" max="3" width="11.710000038146973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11.710000038146973" hidden="0" customWidth="1"/>
    <x:col min="9" max="9" width="11.710000038146973" hidden="0" customWidth="1"/>
    <x:col min="10" max="10" width="11.710000038146973" hidden="0" customWidth="1"/>
    <x:col min="11" max="11" width="11.710000038146973" hidden="0" customWidth="1"/>
    <x:col min="12" max="12" width="11.710000038146973" hidden="0" customWidth="1"/>
    <x:col min="13" max="13" width="11.710000038146973" hidden="0" customWidth="1"/>
    <x:col min="14" max="14" width="11.710000038146973" hidden="0" customWidth="1"/>
    <x:col min="15" max="15" width="11.710000038146973" hidden="0" customWidth="1"/>
    <x:col min="16" max="16" width="11.710000038146973" hidden="0" customWidth="1"/>
    <x:col min="17" max="17" width="11.710000038146973" hidden="0" customWidth="1"/>
    <x:col min="18" max="18" width="11.710000038146973" hidden="0" customWidth="1"/>
    <x:col min="19" max="19" width="11.710000038146973" hidden="0" customWidth="1"/>
    <x:col min="20" max="20" width="11.710000038146973" hidden="0" customWidth="1"/>
    <x:col min="21" max="21" width="11.710000038146973" hidden="0" customWidth="1"/>
    <x:col min="22" max="22" width="11.710000038146973" hidden="0" customWidth="1"/>
    <x:col min="23" max="23" width="11.710000038146973" hidden="0" customWidth="1"/>
    <x:col min="24" max="24" width="11.710000038146973" hidden="0" customWidth="1"/>
  </x:cols>
  <x:sheetData>
    <x:row r="1">
      <x:c r="A1" s="28" t="str">
        <x:v>Probe Depth (m)</x:v>
      </x:c>
      <x:c r="B1" s="28" t="str">
        <x:v>Temperature</x:v>
      </x:c>
      <x:c r="C1" s="4" t="str">
        <x:v>Pool Chart Data Source</x:v>
      </x:c>
      <x:c r="D1" s="28" t="str">
        <x:v>Probe Depth (m)</x:v>
      </x:c>
      <x:c r="E1" s="28" t="str">
        <x:v>pH</x:v>
      </x:c>
      <x:c r="F1" s="4" t="str">
        <x:v>Pool Chart Data Source</x:v>
      </x:c>
      <x:c r="G1" s="28" t="str">
        <x:v>Probe Depth (m)</x:v>
      </x:c>
      <x:c r="H1" s="28" t="str">
        <x:v>Dissolved Oxygen</x:v>
      </x:c>
      <x:c r="I1" s="4" t="str">
        <x:v>Pool Chart Data Source</x:v>
      </x:c>
      <x:c r="J1" s="28" t="str">
        <x:v>Probe Depth (m)</x:v>
      </x:c>
      <x:c r="K1" s="28" t="str">
        <x:v>Turbidity</x:v>
      </x:c>
      <x:c r="L1" s="4" t="str">
        <x:v>Pool Chart Data Source</x:v>
      </x:c>
      <x:c r="M1" s="28" t="str">
        <x:v>Probe Depth (m)</x:v>
      </x:c>
      <x:c r="N1" s="28" t="str">
        <x:v>Light</x:v>
      </x:c>
      <x:c r="O1" s="4" t="str">
        <x:v>Pool Chart Data Source</x:v>
      </x:c>
      <x:c r="P1" s="28" t="str">
        <x:v>Probe Depth (m)</x:v>
      </x:c>
      <x:c r="Q1" s="28" t="str">
        <x:v>Ultraviolet</x:v>
      </x:c>
      <x:c r="R1" s="4" t="str">
        <x:v>Pool Chart Data Source</x:v>
      </x:c>
      <x:c r="S1" s="28" t="str">
        <x:v>Elapsed Time (s)</x:v>
      </x:c>
      <x:c r="T1" s="28" t="str">
        <x:v>Battery</x:v>
      </x:c>
      <x:c r="U1" s="4" t="str">
        <x:v>Pool Chart Data Source</x:v>
      </x:c>
      <x:c r="V1" s="28" t="str">
        <x:v>Elapsed Time (s)</x:v>
      </x:c>
      <x:c r="W1" s="28" t="str">
        <x:v>Vessel Speed</x:v>
      </x:c>
      <x:c r="X1" s="4" t="str">
        <x:v>Pool Chart Data Source</x:v>
      </x:c>
    </x:row>
    <x:row r="2">
      <x:c r="A2" s="30" t="n">
        <x:v>0.3</x:v>
      </x:c>
      <x:c r="B2" s="30" t="n">
        <x:v>24.6</x:v>
      </x:c>
      <x:c r="C2" s="4" t="str">
        <x:v>Pool Chart Data Source</x:v>
      </x:c>
      <x:c r="D2" s="30" t="n">
        <x:v>0.3</x:v>
      </x:c>
      <x:c r="E2" s="30" t="n">
        <x:v>7.49</x:v>
      </x:c>
      <x:c r="F2" s="4" t="str">
        <x:v>Pool Chart Data Source</x:v>
      </x:c>
      <x:c r="G2" s="30" t="n">
        <x:v>0.3</x:v>
      </x:c>
      <x:c r="H2" s="30" t="n">
        <x:v>7.82</x:v>
      </x:c>
      <x:c r="I2" s="4" t="str">
        <x:v>Pool Chart Data Source</x:v>
      </x:c>
      <x:c r="J2" s="30" t="n">
        <x:v>0.3</x:v>
      </x:c>
      <x:c r="K2" s="30" t="n">
        <x:v>0.18</x:v>
      </x:c>
      <x:c r="L2" s="4" t="str">
        <x:v>Pool Chart Data Source</x:v>
      </x:c>
      <x:c r="M2" s="30" t="n">
        <x:v>0.3</x:v>
      </x:c>
      <x:c r="N2" s="30" t="n">
        <x:v>944</x:v>
      </x:c>
      <x:c r="O2" s="4" t="str">
        <x:v>Pool Chart Data Source</x:v>
      </x:c>
      <x:c r="P2" s="30" t="n">
        <x:v>0.3</x:v>
      </x:c>
      <x:c r="Q2" s="30" t="n">
        <x:v>1.52</x:v>
      </x:c>
      <x:c r="R2" s="4" t="str">
        <x:v>Pool Chart Data Source</x:v>
      </x:c>
      <x:c r="S2" s="30" t="n">
        <x:v>0</x:v>
      </x:c>
      <x:c r="T2" s="30" t="n">
        <x:v>98</x:v>
      </x:c>
      <x:c r="U2" s="4" t="str">
        <x:v>Pool Chart Data Source</x:v>
      </x:c>
      <x:c r="V2" s="30" t="n">
        <x:v>0</x:v>
      </x:c>
      <x:c r="W2" s="30" t="n">
        <x:v>0.09</x:v>
      </x:c>
      <x:c r="X2" s="4" t="str">
        <x:v>Pool Chart Data Source</x:v>
      </x:c>
    </x:row>
    <x:row r="3">
      <x:c r="A3" s="23" t="n">
        <x:v>0.6</x:v>
      </x:c>
      <x:c r="B3" s="23" t="n">
        <x:v>24.52</x:v>
      </x:c>
      <x:c r="D3" s="23" t="n">
        <x:v>0.6</x:v>
      </x:c>
      <x:c r="E3" s="23" t="n">
        <x:v>7.5</x:v>
      </x:c>
      <x:c r="G3" s="23" t="n">
        <x:v>0.6</x:v>
      </x:c>
      <x:c r="H3" s="23" t="n">
        <x:v>7.79</x:v>
      </x:c>
      <x:c r="J3" s="23" t="n">
        <x:v>0.6</x:v>
      </x:c>
      <x:c r="K3" s="23" t="n">
        <x:v>0.21</x:v>
      </x:c>
      <x:c r="M3" s="23" t="n">
        <x:v>0.6</x:v>
      </x:c>
      <x:c r="N3" s="23" t="n">
        <x:v>892</x:v>
      </x:c>
      <x:c r="P3" s="23" t="n">
        <x:v>0.6</x:v>
      </x:c>
      <x:c r="Q3" s="23" t="n">
        <x:v>1.36</x:v>
      </x:c>
      <x:c r="S3" s="23" t="n">
        <x:v>10</x:v>
      </x:c>
      <x:c r="T3" s="23" t="n">
        <x:v>97.9</x:v>
      </x:c>
      <x:c r="V3" s="23" t="n">
        <x:v>10</x:v>
      </x:c>
      <x:c r="W3" s="23" t="n">
        <x:v>0.12</x:v>
      </x:c>
    </x:row>
    <x:row r="4">
      <x:c r="A4" s="23" t="n">
        <x:v>0.9</x:v>
      </x:c>
      <x:c r="B4" s="23" t="n">
        <x:v>24.38</x:v>
      </x:c>
      <x:c r="D4" s="23" t="n">
        <x:v>0.9</x:v>
      </x:c>
      <x:c r="E4" s="23" t="n">
        <x:v>7.47</x:v>
      </x:c>
      <x:c r="G4" s="23" t="n">
        <x:v>0.9</x:v>
      </x:c>
      <x:c r="H4" s="23" t="n">
        <x:v>7.81</x:v>
      </x:c>
      <x:c r="J4" s="23" t="n">
        <x:v>0.9</x:v>
      </x:c>
      <x:c r="K4" s="23" t="n">
        <x:v>0.19</x:v>
      </x:c>
      <x:c r="M4" s="23" t="n">
        <x:v>0.9</x:v>
      </x:c>
      <x:c r="N4" s="23" t="n">
        <x:v>968</x:v>
      </x:c>
      <x:c r="P4" s="23" t="n">
        <x:v>0.9</x:v>
      </x:c>
      <x:c r="Q4" s="23" t="n">
        <x:v>1.08</x:v>
      </x:c>
      <x:c r="S4" s="23" t="n">
        <x:v>20</x:v>
      </x:c>
      <x:c r="T4" s="23" t="n">
        <x:v>97.3</x:v>
      </x:c>
      <x:c r="V4" s="23" t="n">
        <x:v>20</x:v>
      </x:c>
      <x:c r="W4" s="23" t="n">
        <x:v>0.1</x:v>
      </x:c>
    </x:row>
    <x:row r="5">
      <x:c r="A5" s="23" t="n">
        <x:v>1.2</x:v>
      </x:c>
      <x:c r="B5" s="23" t="n">
        <x:v>24.27</x:v>
      </x:c>
      <x:c r="D5" s="23" t="n">
        <x:v>1.2</x:v>
      </x:c>
      <x:c r="E5" s="23" t="n">
        <x:v>7.45</x:v>
      </x:c>
      <x:c r="G5" s="23" t="n">
        <x:v>1.2</x:v>
      </x:c>
      <x:c r="H5" s="23" t="n">
        <x:v>7.74</x:v>
      </x:c>
      <x:c r="J5" s="23" t="n">
        <x:v>1.2</x:v>
      </x:c>
      <x:c r="K5" s="23" t="n">
        <x:v>0.24</x:v>
      </x:c>
      <x:c r="M5" s="23" t="n">
        <x:v>1.2</x:v>
      </x:c>
      <x:c r="N5" s="23" t="n">
        <x:v>742</x:v>
      </x:c>
      <x:c r="P5" s="23" t="n">
        <x:v>1.2</x:v>
      </x:c>
      <x:c r="Q5" s="23" t="n">
        <x:v>0.92</x:v>
      </x:c>
      <x:c r="S5" s="23" t="n">
        <x:v>30</x:v>
      </x:c>
      <x:c r="T5" s="23" t="n">
        <x:v>97.1</x:v>
      </x:c>
      <x:c r="V5" s="23" t="n">
        <x:v>30</x:v>
      </x:c>
      <x:c r="W5" s="23" t="n">
        <x:v>0.14</x:v>
      </x:c>
    </x:row>
    <x:row r="6">
      <x:c r="A6" s="23" t="n">
        <x:v>1.5</x:v>
      </x:c>
      <x:c r="B6" s="23" t="n">
        <x:v>24.04</x:v>
      </x:c>
      <x:c r="D6" s="23" t="n">
        <x:v>1.5</x:v>
      </x:c>
      <x:c r="E6" s="23" t="n">
        <x:v>7.42</x:v>
      </x:c>
      <x:c r="G6" s="23" t="n">
        <x:v>1.5</x:v>
      </x:c>
      <x:c r="H6" s="23" t="n">
        <x:v>7.71</x:v>
      </x:c>
      <x:c r="J6" s="23" t="n">
        <x:v>1.5</x:v>
      </x:c>
      <x:c r="K6" s="23" t="n">
        <x:v>0.28</x:v>
      </x:c>
      <x:c r="M6" s="23" t="n">
        <x:v>1.5</x:v>
      </x:c>
      <x:c r="N6" s="23" t="n">
        <x:v>804</x:v>
      </x:c>
      <x:c r="P6" s="23" t="n">
        <x:v>1.5</x:v>
      </x:c>
      <x:c r="Q6" s="23" t="n">
        <x:v>0.55</x:v>
      </x:c>
      <x:c r="S6" s="23" t="n">
        <x:v>40</x:v>
      </x:c>
      <x:c r="T6" s="23" t="n">
        <x:v>96.6</x:v>
      </x:c>
      <x:c r="V6" s="23" t="n">
        <x:v>40</x:v>
      </x:c>
      <x:c r="W6" s="23" t="n">
        <x:v>0.11</x:v>
      </x:c>
    </x:row>
    <x:row r="7">
      <x:c r="A7" s="23" t="n">
        <x:v>1.8</x:v>
      </x:c>
      <x:c r="B7" s="23" t="n">
        <x:v>23.96</x:v>
      </x:c>
      <x:c r="D7" s="23" t="n">
        <x:v>1.8</x:v>
      </x:c>
      <x:c r="E7" s="23" t="n">
        <x:v>7.43</x:v>
      </x:c>
      <x:c r="G7" s="23" t="n">
        <x:v>1.8</x:v>
      </x:c>
      <x:c r="H7" s="23" t="n">
        <x:v>7.68</x:v>
      </x:c>
      <x:c r="J7" s="23" t="n">
        <x:v>1.8</x:v>
      </x:c>
      <x:c r="K7" s="23" t="n">
        <x:v>0.33</x:v>
      </x:c>
      <x:c r="M7" s="23" t="n">
        <x:v>1.8</x:v>
      </x:c>
      <x:c r="N7" s="23" t="n">
        <x:v>518</x:v>
      </x:c>
      <x:c r="P7" s="23" t="n">
        <x:v>1.8</x:v>
      </x:c>
      <x:c r="Q7" s="23" t="n">
        <x:v>0.73</x:v>
      </x:c>
      <x:c r="S7" s="23" t="n">
        <x:v>50</x:v>
      </x:c>
      <x:c r="T7" s="23" t="n">
        <x:v>96.2</x:v>
      </x:c>
      <x:c r="V7" s="23" t="n">
        <x:v>50</x:v>
      </x:c>
      <x:c r="W7" s="23" t="n">
        <x:v>0.15</x:v>
      </x:c>
    </x:row>
    <x:row r="8">
      <x:c r="A8" s="23" t="n">
        <x:v>2.1</x:v>
      </x:c>
      <x:c r="B8" s="23" t="n">
        <x:v>23.81</x:v>
      </x:c>
      <x:c r="D8" s="23" t="n">
        <x:v>2.1</x:v>
      </x:c>
      <x:c r="E8" s="23" t="n">
        <x:v>7.39</x:v>
      </x:c>
      <x:c r="G8" s="23" t="n">
        <x:v>2.1</x:v>
      </x:c>
      <x:c r="H8" s="23" t="n">
        <x:v>7.66</x:v>
      </x:c>
      <x:c r="J8" s="23" t="n">
        <x:v>2.1</x:v>
      </x:c>
      <x:c r="K8" s="23" t="n">
        <x:v>0.31</x:v>
      </x:c>
      <x:c r="M8" s="23" t="n">
        <x:v>2.1</x:v>
      </x:c>
      <x:c r="N8" s="23" t="n">
        <x:v>576</x:v>
      </x:c>
      <x:c r="P8" s="23" t="n">
        <x:v>2.1</x:v>
      </x:c>
      <x:c r="Q8" s="23" t="n">
        <x:v>0.27</x:v>
      </x:c>
      <x:c r="S8" s="23" t="n">
        <x:v>60</x:v>
      </x:c>
      <x:c r="T8" s="23" t="n">
        <x:v>95.8</x:v>
      </x:c>
      <x:c r="V8" s="23" t="n">
        <x:v>60</x:v>
      </x:c>
      <x:c r="W8" s="23" t="n">
        <x:v>0.13</x:v>
      </x:c>
    </x:row>
    <x:row r="9">
      <x:c r="A9" s="23" t="n">
        <x:v>2.4</x:v>
      </x:c>
      <x:c r="B9" s="23" t="n">
        <x:v>23.74</x:v>
      </x:c>
      <x:c r="D9" s="23" t="n">
        <x:v>2.4</x:v>
      </x:c>
      <x:c r="E9" s="23" t="n">
        <x:v>7.37</x:v>
      </x:c>
      <x:c r="G9" s="23" t="n">
        <x:v>2.4</x:v>
      </x:c>
      <x:c r="H9" s="23" t="n">
        <x:v>7.62</x:v>
      </x:c>
      <x:c r="J9" s="23" t="n">
        <x:v>2.4</x:v>
      </x:c>
      <x:c r="K9" s="23" t="n">
        <x:v>0.37</x:v>
      </x:c>
      <x:c r="M9" s="23" t="n">
        <x:v>2.4</x:v>
      </x:c>
      <x:c r="N9" s="23" t="n">
        <x:v>462</x:v>
      </x:c>
      <x:c r="P9" s="23" t="n">
        <x:v>2.4</x:v>
      </x:c>
      <x:c r="Q9" s="23" t="n">
        <x:v>0.41</x:v>
      </x:c>
      <x:c r="S9" s="23" t="n">
        <x:v>70</x:v>
      </x:c>
      <x:c r="T9" s="23" t="n">
        <x:v>95.4</x:v>
      </x:c>
      <x:c r="V9" s="23" t="n">
        <x:v>70</x:v>
      </x:c>
      <x:c r="W9" s="23" t="n">
        <x:v>0.16</x:v>
      </x:c>
    </x:row>
  </x:sheetData>
  <x:mergeCells>
    <x:mergeCell ref="A1:X2"/>
  </x:mergeCells>
  <x:pageMargins left="0.7" right="0.7" top="0.75" bottom="0.75" header="0.3" footer="0.3"/>
</x:worksheet>
</file>