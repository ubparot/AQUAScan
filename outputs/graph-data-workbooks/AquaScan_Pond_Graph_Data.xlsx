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069e082ce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3ba9689a5d94856"/>
    <x:sheet xmlns:r="http://schemas.openxmlformats.org/officeDocument/2006/relationships" name="Pond_Profile" sheetId="2" r:id="R204d4e0d0b9b4e61"/>
    <x:sheet xmlns:r="http://schemas.openxmlformats.org/officeDocument/2006/relationships" name="Pond_Operations" sheetId="3" r:id="R310df28474b5423d"/>
    <x:sheet xmlns:r="http://schemas.openxmlformats.org/officeDocument/2006/relationships" name="Pond_Area" sheetId="4" r:id="Rea2773c402d0422a"/>
    <x:sheet xmlns:r="http://schemas.openxmlformats.org/officeDocument/2006/relationships" name="Pond_Chart_Data" sheetId="5" r:id="Rdccb3468e384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9">
    <x:font>
      <x:sz val="11"/>
      <x:name val="Carlito"/>
    </x:font>
    <x:font>
      <x:b/>
      <x:sz val="18"/>
      <x:color rgb="FFFFFF"/>
      <x:name val="Carlito"/>
    </x:font>
    <x:font>
      <x:sz val="10"/>
      <x:color rgb="64748B"/>
      <x:name val="Carlito"/>
    </x:font>
    <x:font>
      <x:b/>
      <x:sz val="11"/>
      <x:color rgb="1E293B"/>
      <x:name val="Carlito"/>
    </x:font>
    <x:font>
      <x:b/>
      <x:sz val="16"/>
      <x:color rgb="1D4ED8"/>
      <x:name val="Carlito"/>
    </x:font>
    <x:font>
      <x:sz val="10"/>
      <x:color rgb="1E293B"/>
      <x:name val="Carlito"/>
    </x:font>
    <x:font>
      <x:b/>
      <x:sz val="18"/>
      <x:color rgb="1E293B"/>
      <x:name val="Carlito"/>
    </x:font>
    <x:font>
      <x:b/>
      <x:sz val="10"/>
      <x:color rgb="1E293B"/>
      <x:name val="Carlito"/>
    </x:font>
    <x:font>
      <x:b/>
      <x:sz val="12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  <x:fill>
      <x:patternFill patternType="solid">
        <x:fgColor rgb="FFFFFF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20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left"/>
    </x:xf>
    <x:xf numFmtId="0" fontId="8" fillId="6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d5b565bfc4ac6" /><Relationship Type="http://schemas.openxmlformats.org/officeDocument/2006/relationships/theme" Target="/xl/theme/theme1.xml" Id="R9ac87cb3b1174207" /><Relationship Type="http://schemas.openxmlformats.org/officeDocument/2006/relationships/sharedStrings" Target="/xl/sharedStrings.xml" Id="Rd1e752719d9d4eee" /><Relationship Type="http://schemas.openxmlformats.org/officeDocument/2006/relationships/worksheet" Target="/xl/worksheets/sheet1.xml" Id="R03ba9689a5d94856" /><Relationship Type="http://schemas.openxmlformats.org/officeDocument/2006/relationships/worksheet" Target="/xl/worksheets/sheet2.xml" Id="R204d4e0d0b9b4e61" /><Relationship Type="http://schemas.openxmlformats.org/officeDocument/2006/relationships/worksheet" Target="/xl/worksheets/sheet3.xml" Id="R310df28474b5423d" /><Relationship Type="http://schemas.openxmlformats.org/officeDocument/2006/relationships/worksheet" Target="/xl/worksheets/sheet4.xml" Id="Rea2773c402d0422a" /><Relationship Type="http://schemas.openxmlformats.org/officeDocument/2006/relationships/worksheet" Target="/xl/worksheets/sheet5.xml" Id="Rdccb3468e3844a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836ee9f6c4419b" /><Relationship Type="http://schemas.openxmlformats.org/officeDocument/2006/relationships/chart" Target="/xl/drawings/charts/chart2.xml" Id="Rd631facdff1947c8" /><Relationship Type="http://schemas.openxmlformats.org/officeDocument/2006/relationships/chart" Target="/xl/drawings/charts/chart3.xml" Id="R31399ff06bad48da" /><Relationship Type="http://schemas.openxmlformats.org/officeDocument/2006/relationships/chart" Target="/xl/drawings/charts/chart4.xml" Id="R98b37a9c3f3041ba" /><Relationship Type="http://schemas.openxmlformats.org/officeDocument/2006/relationships/chart" Target="/xl/drawings/charts/chart5.xml" Id="R9ab65bdaf1a840c6" /><Relationship Type="http://schemas.openxmlformats.org/officeDocument/2006/relationships/chart" Target="/xl/drawings/charts/chart6.xml" Id="R8431ce8501da4f1b" /><Relationship Type="http://schemas.openxmlformats.org/officeDocument/2006/relationships/chart" Target="/xl/drawings/charts/chart7.xml" Id="Ra5523c51090142fb" /><Relationship Type="http://schemas.openxmlformats.org/officeDocument/2006/relationships/chart" Target="/xl/drawings/charts/chart8.xml" Id="R10ab85fe330c4c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Temperature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Temperature</c:v>
          </c:tx>
          <c:cat>
            <c:strRef>
              <c:f>'Pond_Chart_Data'!$A$2:$A$17</c:f>
              <c:strCache>
                <c:ptCount val="0"/>
              </c:strCache>
            </c:strRef>
          </c:cat>
          <c:val>
            <c:numRef>
              <c:f>'Pond_Chart_Data'!$B$2:$B$17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pH</c:v>
          </c:tx>
          <c:cat>
            <c:strRef>
              <c:f>'Pond_Chart_Data'!$D$2:$D$17</c:f>
              <c:strCache>
                <c:ptCount val="0"/>
              </c:strCache>
            </c:strRef>
          </c:cat>
          <c:val>
            <c:numRef>
              <c:f>'Pond_Chart_Data'!$E$2:$E$17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Dissolved Oxygen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Dissolved Oxygen</c:v>
          </c:tx>
          <c:cat>
            <c:strRef>
              <c:f>'Pond_Chart_Data'!$G$2:$G$17</c:f>
              <c:strCache>
                <c:ptCount val="0"/>
              </c:strCache>
            </c:strRef>
          </c:cat>
          <c:val>
            <c:numRef>
              <c:f>'Pond_Chart_Data'!$H$2:$H$17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Turbidity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Turbidity</c:v>
          </c:tx>
          <c:cat>
            <c:strRef>
              <c:f>'Pond_Chart_Data'!$J$2:$J$17</c:f>
              <c:strCache>
                <c:ptCount val="0"/>
              </c:strCache>
            </c:strRef>
          </c:cat>
          <c:val>
            <c:numRef>
              <c:f>'Pond_Chart_Data'!$K$2:$K$17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Light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Light</c:v>
          </c:tx>
          <c:cat>
            <c:strRef>
              <c:f>'Pond_Chart_Data'!$M$2:$M$17</c:f>
              <c:strCache>
                <c:ptCount val="0"/>
              </c:strCache>
            </c:strRef>
          </c:cat>
          <c:val>
            <c:numRef>
              <c:f>'Pond_Chart_Data'!$N$2:$N$17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UV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Ultraviolet</c:v>
          </c:tx>
          <c:cat>
            <c:strRef>
              <c:f>'Pond_Chart_Data'!$P$2:$P$17</c:f>
              <c:strCache>
                <c:ptCount val="0"/>
              </c:strCache>
            </c:strRef>
          </c:cat>
          <c:val>
            <c:numRef>
              <c:f>'Pond_Chart_Data'!$Q$2:$Q$17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Battery vs Elapsed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Battery</c:v>
          </c:tx>
          <c:cat>
            <c:strRef>
              <c:f>'Pond_Chart_Data'!$S$2:$S$21</c:f>
              <c:strCache>
                <c:ptCount val="0"/>
              </c:strCache>
            </c:strRef>
          </c:cat>
          <c:val>
            <c:numRef>
              <c:f>'Pond_Chart_Data'!$T$2:$T$21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Speed vs Elapsed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Vessel Speed</c:v>
          </c:tx>
          <c:cat>
            <c:strRef>
              <c:f>'Pond_Chart_Data'!$V$2:$V$21</c:f>
              <c:strCache>
                <c:ptCount val="0"/>
              </c:strCache>
            </c:strRef>
          </c:cat>
          <c:val>
            <c:numRef>
              <c:f>'Pond_Chart_Data'!$W$2:$W$21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836ee9f6c4419b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31facdff1947c8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399ff06bad48da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b37a9c3f3041ba"/>
        </a:graphicData>
      </a:graphic>
    </xdr:graphicFrame>
    <xdr:clientData/>
  </xdr:twoCellAnchor>
  <xdr:twoCellAnchor>
    <xdr:from>
      <xdr:col>3</xdr:col>
      <xdr:colOff>0</xdr:colOff>
      <xdr:row>37</xdr:row>
      <xdr:rowOff>0</xdr:rowOff>
    </xdr:from>
    <xdr:to>
      <xdr:col>9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b65bdaf1a840c6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31ce8501da4f1b"/>
        </a:graphicData>
      </a:graphic>
    </xdr:graphicFrame>
    <xdr:clientData/>
  </xdr:twoCellAnchor>
  <xdr:twoCellAnchor>
    <xdr:from>
      <xdr:col>3</xdr:col>
      <xdr:colOff>0</xdr:colOff>
      <xdr:row>52</xdr:row>
      <xdr:rowOff>0</xdr:rowOff>
    </xdr:from>
    <xdr:to>
      <xdr:col>9</xdr:col>
      <xdr:colOff>0</xdr:colOff>
      <xdr:row>67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523c51090142fb"/>
        </a:graphicData>
      </a:graphic>
    </xdr:graphicFrame>
    <xdr:clientData/>
  </xdr:twoCellAnchor>
  <xdr:twoCellAnchor>
    <xdr:from>
      <xdr:col>9</xdr:col>
      <xdr:colOff>0</xdr:colOff>
      <xdr:row>52</xdr:row>
      <xdr:rowOff>0</xdr:rowOff>
    </xdr:from>
    <xdr:to>
      <xdr:col>14</xdr:col>
      <xdr:colOff>0</xdr:colOff>
      <xdr:row>67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ab85fe330c4c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dbfaec834842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4.130000114440918" hidden="0" customWidth="1"/>
    <x:col min="3" max="3" width="2.559999942779541" hidden="0" customWidth="1"/>
    <x:col min="4" max="4" width="11.4399995803833" hidden="0" customWidth="1"/>
    <x:col min="5" max="5" width="11.4399995803833" hidden="0" customWidth="1"/>
    <x:col min="6" max="6" width="2.559999942779541" hidden="0" customWidth="1"/>
    <x:col min="7" max="7" width="18.170000076293945" hidden="0" customWidth="1"/>
    <x:col min="8" max="8" width="18.170000076293945" hidden="0" customWidth="1"/>
    <x:col min="9" max="9" width="2.559999942779541" hidden="0" customWidth="1"/>
    <x:col min="10" max="10" width="18.170000076293945" hidden="0" customWidth="1"/>
    <x:col min="11" max="11" width="18.170000076293945" hidden="0" customWidth="1"/>
    <x:col min="12" max="12" width="2.559999942779541" hidden="0" customWidth="1"/>
    <x:col min="13" max="13" width="18.170000076293945" hidden="0" customWidth="1"/>
    <x:col min="14" max="14" width="18.170000076293945" hidden="0" customWidth="1"/>
  </x:cols>
  <x:sheetData>
    <x:row r="1">
      <x:c r="A1" s="4" t="str">
        <x:v>AquaScan Pond Graph Workbook</x:v>
      </x:c>
      <x:c r="B1" s="4" t="str">
        <x:v>AquaScan Pond Graph Workbook</x:v>
      </x:c>
      <x:c r="C1" s="4" t="str">
        <x:v>AquaScan Pond Graph Workbook</x:v>
      </x:c>
      <x:c r="D1" s="4" t="str">
        <x:v>AquaScan Pond Graph Workbook</x:v>
      </x:c>
      <x:c r="E1" s="4" t="str">
        <x:v>AquaScan Pond Graph Workbook</x:v>
      </x:c>
      <x:c r="F1" s="4" t="str">
        <x:v>AquaScan Pond Graph Workbook</x:v>
      </x:c>
      <x:c r="G1" s="4" t="str">
        <x:v>AquaScan Pond Graph Workbook</x:v>
      </x:c>
      <x:c r="H1" s="4" t="str">
        <x:v>AquaScan Pond Graph Workbook</x:v>
      </x:c>
      <x:c r="I1" s="4" t="str">
        <x:v>AquaScan Pond Graph Workbook</x:v>
      </x:c>
      <x:c r="J1" s="4" t="str">
        <x:v>AquaScan Pond Graph Workbook</x:v>
      </x:c>
      <x:c r="K1" s="4" t="str">
        <x:v>AquaScan Pond Graph Workbook</x:v>
      </x:c>
      <x:c r="L1" s="4" t="str">
        <x:v>AquaScan Pond Graph Workbook</x:v>
      </x:c>
      <x:c r="M1" s="4" t="str">
        <x:v>AquaScan Pond Graph Workbook</x:v>
      </x:c>
      <x:c r="N1" s="4" t="str">
        <x:v>AquaScan Pond Graph Workbook</x:v>
      </x:c>
    </x:row>
    <x:row r="2">
      <x:c r="A2" s="4" t="str">
        <x:v>AquaScan Pond Graph Workbook</x:v>
      </x:c>
      <x:c r="B2" s="4" t="str">
        <x:v>AquaScan Pond Graph Workbook</x:v>
      </x:c>
      <x:c r="C2" s="4" t="str">
        <x:v>AquaScan Pond Graph Workbook</x:v>
      </x:c>
      <x:c r="D2" s="4" t="str">
        <x:v>AquaScan Pond Graph Workbook</x:v>
      </x:c>
      <x:c r="E2" s="4" t="str">
        <x:v>AquaScan Pond Graph Workbook</x:v>
      </x:c>
      <x:c r="F2" s="4" t="str">
        <x:v>AquaScan Pond Graph Workbook</x:v>
      </x:c>
      <x:c r="G2" s="4" t="str">
        <x:v>AquaScan Pond Graph Workbook</x:v>
      </x:c>
      <x:c r="H2" s="4" t="str">
        <x:v>AquaScan Pond Graph Workbook</x:v>
      </x:c>
      <x:c r="I2" s="4" t="str">
        <x:v>AquaScan Pond Graph Workbook</x:v>
      </x:c>
      <x:c r="J2" s="4" t="str">
        <x:v>AquaScan Pond Graph Workbook</x:v>
      </x:c>
      <x:c r="K2" s="4" t="str">
        <x:v>AquaScan Pond Graph Workbook</x:v>
      </x:c>
      <x:c r="L2" s="4" t="str">
        <x:v>AquaScan Pond Graph Workbook</x:v>
      </x:c>
      <x:c r="M2" s="4" t="str">
        <x:v>AquaScan Pond Graph Workbook</x:v>
      </x:c>
      <x:c r="N2" s="4" t="str">
        <x:v>AquaScan Pond Graph Workbook</x:v>
      </x:c>
    </x:row>
    <x:row r="3">
      <x:c r="A3" s="7" t="str">
        <x:v>Profile charts mirror the pond graph PNG set. Area sheet contains the XY source data behind the spatial maps.</x:v>
      </x:c>
      <x:c r="B3" s="7" t="str">
        <x:v>Profile charts mirror the pond graph PNG set. Area sheet contains the XY source data behind the spatial maps.</x:v>
      </x:c>
      <x:c r="C3" s="7" t="str">
        <x:v>Profile charts mirror the pond graph PNG set. Area sheet contains the XY source data behind the spatial maps.</x:v>
      </x:c>
      <x:c r="D3" s="7" t="str">
        <x:v>Profile charts mirror the pond graph PNG set. Area sheet contains the XY source data behind the spatial maps.</x:v>
      </x:c>
      <x:c r="E3" s="7" t="str">
        <x:v>Profile charts mirror the pond graph PNG set. Area sheet contains the XY source data behind the spatial maps.</x:v>
      </x:c>
      <x:c r="F3" s="7" t="str">
        <x:v>Profile charts mirror the pond graph PNG set. Area sheet contains the XY source data behind the spatial maps.</x:v>
      </x:c>
      <x:c r="G3" s="7" t="str">
        <x:v>Profile charts mirror the pond graph PNG set. Area sheet contains the XY source data behind the spatial maps.</x:v>
      </x:c>
      <x:c r="H3" s="7" t="str">
        <x:v>Profile charts mirror the pond graph PNG set. Area sheet contains the XY source data behind the spatial maps.</x:v>
      </x:c>
      <x:c r="I3" s="7" t="str">
        <x:v>Profile charts mirror the pond graph PNG set. Area sheet contains the XY source data behind the spatial maps.</x:v>
      </x:c>
      <x:c r="J3" s="7" t="str">
        <x:v>Profile charts mirror the pond graph PNG set. Area sheet contains the XY source data behind the spatial maps.</x:v>
      </x:c>
      <x:c r="K3" s="7" t="str">
        <x:v>Profile charts mirror the pond graph PNG set. Area sheet contains the XY source data behind the spatial maps.</x:v>
      </x:c>
      <x:c r="L3" s="7" t="str">
        <x:v>Profile charts mirror the pond graph PNG set. Area sheet contains the XY source data behind the spatial maps.</x:v>
      </x:c>
      <x:c r="M3" s="7" t="str">
        <x:v>Profile charts mirror the pond graph PNG set. Area sheet contains the XY source data behind the spatial maps.</x:v>
      </x:c>
      <x:c r="N3" s="7" t="str">
        <x:v>Profile charts mirror the pond graph PNG set. Area sheet contains the XY source data behind the spatial maps.</x:v>
      </x:c>
    </x:row>
    <x:row r="5">
      <x:c r="A5" s="9" t="str">
        <x:v>Profile Samples</x:v>
      </x:c>
      <x:c r="B5" s="9" t="str">
        <x:v>Profile Samples</x:v>
      </x:c>
      <x:c r="D5" s="31" t="str">
        <x:v>Pond Profile Charts</x:v>
      </x:c>
      <x:c r="E5" s="31" t="str">
        <x:v>Pond Profile Charts</x:v>
      </x:c>
      <x:c r="F5" s="31" t="str">
        <x:v>Pond Profile Charts</x:v>
      </x:c>
      <x:c r="G5" s="31" t="str">
        <x:v>Pond Profile Charts</x:v>
      </x:c>
      <x:c r="H5" s="31" t="str">
        <x:v>Pond Profile Charts</x:v>
      </x:c>
      <x:c r="I5" s="31" t="str">
        <x:v>Pond Profile Charts</x:v>
      </x:c>
      <x:c r="J5" s="31" t="str">
        <x:v>Pond Profile Charts</x:v>
      </x:c>
      <x:c r="K5" s="31" t="str">
        <x:v>Pond Profile Charts</x:v>
      </x:c>
      <x:c r="L5" s="31" t="str">
        <x:v>Pond Profile Charts</x:v>
      </x:c>
      <x:c r="M5" s="31" t="str">
        <x:v>Pond Profile Charts</x:v>
      </x:c>
      <x:c r="N5" s="31" t="str">
        <x:v>Pond Profile Charts</x:v>
      </x:c>
    </x:row>
    <x:row r="6">
      <x:c r="A6" s="14" t="n">
        <x:f>COUNTA(Pond_Profile!A5:A200)</x:f>
        <x:v>16</x:v>
      </x:c>
      <x:c r="B6" s="14"/>
    </x:row>
    <x:row r="7">
      <x:c r="A7" s="14"/>
      <x:c r="B7" s="14"/>
    </x:row>
    <x:row r="9">
      <x:c r="A9" s="9" t="str">
        <x:v>Min Depth (m)</x:v>
      </x:c>
      <x:c r="B9" s="9" t="str">
        <x:v>Min Depth (m)</x:v>
      </x:c>
    </x:row>
    <x:row r="10">
      <x:c r="A10" s="17" t="n">
        <x:f>MIN(Pond_Profile!A5:A200)</x:f>
        <x:v>2.2</x:v>
      </x:c>
      <x:c r="B10" s="17"/>
    </x:row>
    <x:row r="11">
      <x:c r="A11" s="17"/>
      <x:c r="B11" s="17"/>
    </x:row>
    <x:row r="13">
      <x:c r="A13" s="9" t="str">
        <x:v>Max Depth (m)</x:v>
      </x:c>
      <x:c r="B13" s="9" t="str">
        <x:v>Max Depth (m)</x:v>
      </x:c>
    </x:row>
    <x:row r="14">
      <x:c r="A14" s="17" t="n">
        <x:f>MAX(Pond_Profile!A5:A200)</x:f>
        <x:v>4.3</x:v>
      </x:c>
      <x:c r="B14" s="17"/>
    </x:row>
    <x:row r="15">
      <x:c r="A15" s="17"/>
      <x:c r="B15" s="17"/>
    </x:row>
    <x:row r="17">
      <x:c r="A17" s="9" t="str">
        <x:v>Area Samples</x:v>
      </x:c>
      <x:c r="B17" s="9" t="str">
        <x:v>Area Samples</x:v>
      </x:c>
    </x:row>
    <x:row r="18">
      <x:c r="A18" s="14" t="n">
        <x:f>COUNTA(Pond_Area!A5:A200)</x:f>
        <x:v>20</x:v>
      </x:c>
      <x:c r="B18" s="14"/>
    </x:row>
    <x:row r="19">
      <x:c r="A19" s="14"/>
      <x:c r="B19" s="14"/>
    </x:row>
    <x:row r="21">
      <x:c r="A21" s="9" t="str">
        <x:v>Avg Turbidity</x:v>
      </x:c>
      <x:c r="B21" s="9" t="str">
        <x:v>Avg Turbidity</x:v>
      </x:c>
    </x:row>
    <x:row r="22">
      <x:c r="A22" s="17" t="n">
        <x:f>AVERAGE(Pond_Profile!H5:H200)</x:f>
        <x:v>5.780208333333333</x:v>
      </x:c>
      <x:c r="B22" s="17"/>
    </x:row>
    <x:row r="23">
      <x:c r="A23" s="17"/>
      <x:c r="B23" s="17"/>
    </x:row>
    <x:row r="37">
      <x:c r="D37" s="31" t="str">
        <x:v>Light / UV / Operations</x:v>
      </x:c>
      <x:c r="E37" s="31" t="str">
        <x:v>Light / UV / Operations</x:v>
      </x:c>
      <x:c r="F37" s="31" t="str">
        <x:v>Light / UV / Operations</x:v>
      </x:c>
      <x:c r="G37" s="31" t="str">
        <x:v>Light / UV / Operations</x:v>
      </x:c>
      <x:c r="H37" s="31" t="str">
        <x:v>Light / UV / Operations</x:v>
      </x:c>
      <x:c r="I37" s="31" t="str">
        <x:v>Light / UV / Operations</x:v>
      </x:c>
      <x:c r="J37" s="31" t="str">
        <x:v>Light / UV / Operations</x:v>
      </x:c>
      <x:c r="K37" s="31" t="str">
        <x:v>Light / UV / Operations</x:v>
      </x:c>
      <x:c r="L37" s="31" t="str">
        <x:v>Light / UV / Operations</x:v>
      </x:c>
      <x:c r="M37" s="31" t="str">
        <x:v>Light / UV / Operations</x:v>
      </x:c>
      <x:c r="N37" s="31" t="str">
        <x:v>Light / UV / Operations</x:v>
      </x:c>
    </x:row>
  </x:sheetData>
  <x:mergeCells>
    <x:mergeCell ref="A1:N2"/>
    <x:mergeCell ref="A3:N3"/>
    <x:mergeCell ref="A5:B5"/>
    <x:mergeCell ref="A6:B7"/>
    <x:mergeCell ref="A9:B9"/>
    <x:mergeCell ref="A10:B11"/>
    <x:mergeCell ref="A13:B13"/>
    <x:mergeCell ref="A14:B15"/>
    <x:mergeCell ref="A17:B17"/>
    <x:mergeCell ref="A18:B19"/>
    <x:mergeCell ref="A21:B21"/>
    <x:mergeCell ref="A22:B23"/>
    <x:mergeCell ref="D5:N5"/>
    <x:mergeCell ref="D37:N37"/>
  </x:mergeCells>
  <x:pageMargins left="0.7" right="0.7" top="0.75" bottom="0.75" header="0.3" footer="0.3"/>
  <x:drawing xmlns:r="http://schemas.openxmlformats.org/officeDocument/2006/relationships" r:id="R66dbfaec834842e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89999961853027" hidden="0" customWidth="1"/>
    <x:col min="2" max="2" width="14.130000114440918" hidden="0" customWidth="1"/>
    <x:col min="3" max="3" width="11.4399995803833" hidden="0" customWidth="1"/>
    <x:col min="4" max="4" width="15.479999542236328" hidden="0" customWidth="1"/>
    <x:col min="5" max="5" width="11.4399995803833" hidden="0" customWidth="1"/>
    <x:col min="6" max="6" width="15.479999542236328" hidden="0" customWidth="1"/>
    <x:col min="7" max="7" width="15.479999542236328" hidden="0" customWidth="1"/>
    <x:col min="8" max="8" width="14.130000114440918" hidden="0" customWidth="1"/>
    <x:col min="9" max="9" width="12.789999961853027" hidden="0" customWidth="1"/>
    <x:col min="10" max="10" width="12.789999961853027" hidden="0" customWidth="1"/>
  </x:cols>
  <x:sheetData>
    <x:row r="1">
      <x:c r="A1" s="4" t="str">
        <x:v>Pond Profile Data</x:v>
      </x:c>
      <x:c r="B1" s="4" t="str">
        <x:v>Pond Profile Data</x:v>
      </x:c>
      <x:c r="C1" s="4" t="str">
        <x:v>Pond Profile Data</x:v>
      </x:c>
      <x:c r="D1" s="4" t="str">
        <x:v>Pond Profile Data</x:v>
      </x:c>
      <x:c r="E1" s="4" t="str">
        <x:v>Pond Profile Data</x:v>
      </x:c>
      <x:c r="F1" s="4" t="str">
        <x:v>Pond Profile Data</x:v>
      </x:c>
      <x:c r="G1" s="4" t="str">
        <x:v>Pond Profile Data</x:v>
      </x:c>
      <x:c r="H1" s="4" t="str">
        <x:v>Pond Profile Data</x:v>
      </x:c>
      <x:c r="I1" s="4" t="str">
        <x:v>Pond Profile Data</x:v>
      </x:c>
      <x:c r="J1" s="4" t="str">
        <x:v>Pond Profile Data</x:v>
      </x:c>
    </x:row>
    <x:row r="2">
      <x:c r="A2" s="4" t="str">
        <x:v>Pond Profile Data</x:v>
      </x:c>
      <x:c r="B2" s="4" t="str">
        <x:v>Pond Profile Data</x:v>
      </x:c>
      <x:c r="C2" s="4" t="str">
        <x:v>Pond Profile Data</x:v>
      </x:c>
      <x:c r="D2" s="4" t="str">
        <x:v>Pond Profile Data</x:v>
      </x:c>
      <x:c r="E2" s="4" t="str">
        <x:v>Pond Profile Data</x:v>
      </x:c>
      <x:c r="F2" s="4" t="str">
        <x:v>Pond Profile Data</x:v>
      </x:c>
      <x:c r="G2" s="4" t="str">
        <x:v>Pond Profile Data</x:v>
      </x:c>
      <x:c r="H2" s="4" t="str">
        <x:v>Pond Profile Data</x:v>
      </x:c>
      <x:c r="I2" s="4" t="str">
        <x:v>Pond Profile Data</x:v>
      </x:c>
      <x:c r="J2" s="4" t="str">
        <x:v>Pond Profile Data</x:v>
      </x:c>
    </x:row>
    <x:row r="4">
      <x:c r="A4" s="19" t="str">
        <x:v>Probe Depth (m)</x:v>
      </x:c>
      <x:c r="B4" s="19" t="str">
        <x:v>Temperature</x:v>
      </x:c>
      <x:c r="C4" s="19" t="str">
        <x:v>pH</x:v>
      </x:c>
      <x:c r="D4" s="19" t="str">
        <x:v>Dissolved Oxygen</x:v>
      </x:c>
      <x:c r="E4" s="19" t="str">
        <x:v>Salinity</x:v>
      </x:c>
      <x:c r="F4" s="19" t="str">
        <x:v>TDS</x:v>
      </x:c>
      <x:c r="G4" s="19" t="str">
        <x:v>Conductivity</x:v>
      </x:c>
      <x:c r="H4" s="19" t="str">
        <x:v>Turbidity</x:v>
      </x:c>
      <x:c r="I4" s="19" t="str">
        <x:v>Light</x:v>
      </x:c>
      <x:c r="J4" s="19" t="str">
        <x:v>UV</x:v>
      </x:c>
    </x:row>
    <x:row r="5">
      <x:c r="A5" s="21" t="n">
        <x:v>2.2</x:v>
      </x:c>
      <x:c r="B5" s="21" t="n">
        <x:v>16.8</x:v>
      </x:c>
      <x:c r="C5" s="21" t="n">
        <x:v>7.4</x:v>
      </x:c>
      <x:c r="D5" s="21" t="n">
        <x:v>8.9</x:v>
      </x:c>
      <x:c r="E5" s="21" t="n">
        <x:v>1.18</x:v>
      </x:c>
      <x:c r="F5" s="21" t="n">
        <x:v>332</x:v>
      </x:c>
      <x:c r="G5" s="21" t="n">
        <x:v>664</x:v>
      </x:c>
      <x:c r="H5" s="21" t="n">
        <x:v>4.8</x:v>
      </x:c>
      <x:c r="I5" s="22" t="n">
        <x:v>6</x:v>
      </x:c>
      <x:c r="J5" s="21" t="n">
        <x:v>0</x:v>
      </x:c>
    </x:row>
    <x:row r="6">
      <x:c r="A6" s="21" t="n">
        <x:v>2.3</x:v>
      </x:c>
      <x:c r="B6" s="21" t="n">
        <x:v>16.9</x:v>
      </x:c>
      <x:c r="C6" s="21" t="n">
        <x:v>7.4</x:v>
      </x:c>
      <x:c r="D6" s="21" t="n">
        <x:v>8.9</x:v>
      </x:c>
      <x:c r="E6" s="21" t="n">
        <x:v>1.2</x:v>
      </x:c>
      <x:c r="F6" s="21" t="n">
        <x:v>344</x:v>
      </x:c>
      <x:c r="G6" s="21" t="n">
        <x:v>688</x:v>
      </x:c>
      <x:c r="H6" s="21" t="n">
        <x:v>4.8</x:v>
      </x:c>
      <x:c r="I6" s="22" t="n">
        <x:v>12</x:v>
      </x:c>
      <x:c r="J6" s="21" t="n">
        <x:v>0</x:v>
      </x:c>
    </x:row>
    <x:row r="7">
      <x:c r="A7" s="21" t="n">
        <x:v>2.4</x:v>
      </x:c>
      <x:c r="B7" s="21" t="n">
        <x:v>17</x:v>
      </x:c>
      <x:c r="C7" s="21" t="n">
        <x:v>7.4</x:v>
      </x:c>
      <x:c r="D7" s="21" t="n">
        <x:v>8.8</x:v>
      </x:c>
      <x:c r="E7" s="21" t="n">
        <x:v>1.19</x:v>
      </x:c>
      <x:c r="F7" s="21" t="n">
        <x:v>336</x:v>
      </x:c>
      <x:c r="G7" s="21" t="n">
        <x:v>672</x:v>
      </x:c>
      <x:c r="H7" s="21" t="n">
        <x:v>4.9</x:v>
      </x:c>
      <x:c r="I7" s="22" t="n">
        <x:v>4</x:v>
      </x:c>
      <x:c r="J7" s="21" t="n">
        <x:v>0.1</x:v>
      </x:c>
    </x:row>
    <x:row r="8">
      <x:c r="A8" s="21" t="n">
        <x:v>2.5</x:v>
      </x:c>
      <x:c r="B8" s="21" t="n">
        <x:v>17</x:v>
      </x:c>
      <x:c r="C8" s="21" t="n">
        <x:v>7.4</x:v>
      </x:c>
      <x:c r="D8" s="21" t="n">
        <x:v>8.8</x:v>
      </x:c>
      <x:c r="E8" s="21" t="n">
        <x:v>1.21</x:v>
      </x:c>
      <x:c r="F8" s="21" t="n">
        <x:v>347</x:v>
      </x:c>
      <x:c r="G8" s="21" t="n">
        <x:v>694</x:v>
      </x:c>
      <x:c r="H8" s="21" t="n">
        <x:v>4.9</x:v>
      </x:c>
      <x:c r="I8" s="22" t="n">
        <x:v>40</x:v>
      </x:c>
      <x:c r="J8" s="21" t="n">
        <x:v>0.9</x:v>
      </x:c>
    </x:row>
    <x:row r="9">
      <x:c r="A9" s="21" t="n">
        <x:v>2.6</x:v>
      </x:c>
      <x:c r="B9" s="21" t="n">
        <x:v>17.1</x:v>
      </x:c>
      <x:c r="C9" s="21" t="n">
        <x:v>7.3</x:v>
      </x:c>
      <x:c r="D9" s="21" t="n">
        <x:v>8.8</x:v>
      </x:c>
      <x:c r="E9" s="21" t="n">
        <x:v>1.21</x:v>
      </x:c>
      <x:c r="F9" s="21" t="n">
        <x:v>346</x:v>
      </x:c>
      <x:c r="G9" s="21" t="n">
        <x:v>692</x:v>
      </x:c>
      <x:c r="H9" s="21" t="n">
        <x:v>5</x:v>
      </x:c>
      <x:c r="I9" s="22" t="n">
        <x:v>8</x:v>
      </x:c>
      <x:c r="J9" s="21" t="n">
        <x:v>0.3</x:v>
      </x:c>
    </x:row>
    <x:row r="10">
      <x:c r="A10" s="21" t="n">
        <x:v>2.7</x:v>
      </x:c>
      <x:c r="B10" s="21" t="n">
        <x:v>17.1</x:v>
      </x:c>
      <x:c r="C10" s="21" t="n">
        <x:v>7.3</x:v>
      </x:c>
      <x:c r="D10" s="21" t="n">
        <x:v>8.7</x:v>
      </x:c>
      <x:c r="E10" s="21" t="n">
        <x:v>1.2</x:v>
      </x:c>
      <x:c r="F10" s="21" t="n">
        <x:v>340</x:v>
      </x:c>
      <x:c r="G10" s="21" t="n">
        <x:v>680</x:v>
      </x:c>
      <x:c r="H10" s="21" t="n">
        <x:v>5.1</x:v>
      </x:c>
      <x:c r="I10" s="22" t="n">
        <x:v>9</x:v>
      </x:c>
      <x:c r="J10" s="21" t="n">
        <x:v>0</x:v>
      </x:c>
    </x:row>
    <x:row r="11">
      <x:c r="A11" s="21" t="n">
        <x:v>2.8</x:v>
      </x:c>
      <x:c r="B11" s="21" t="n">
        <x:v>17.2</x:v>
      </x:c>
      <x:c r="C11" s="21" t="n">
        <x:v>7.4</x:v>
      </x:c>
      <x:c r="D11" s="21" t="n">
        <x:v>8.7</x:v>
      </x:c>
      <x:c r="E11" s="21" t="n">
        <x:v>1.22</x:v>
      </x:c>
      <x:c r="F11" s="21" t="n">
        <x:v>351</x:v>
      </x:c>
      <x:c r="G11" s="21" t="n">
        <x:v>702</x:v>
      </x:c>
      <x:c r="H11" s="21" t="n">
        <x:v>5.1</x:v>
      </x:c>
      <x:c r="I11" s="22" t="n">
        <x:v>360</x:v>
      </x:c>
      <x:c r="J11" s="21" t="n">
        <x:v>0.2</x:v>
      </x:c>
    </x:row>
    <x:row r="12">
      <x:c r="A12" s="21" t="n">
        <x:v>3</x:v>
      </x:c>
      <x:c r="B12" s="21" t="n">
        <x:v>17.35</x:v>
      </x:c>
      <x:c r="C12" s="21" t="n">
        <x:v>7.25</x:v>
      </x:c>
      <x:c r="D12" s="21" t="n">
        <x:v>8.649999999999999</x:v>
      </x:c>
      <x:c r="E12" s="21" t="n">
        <x:v>1.22</x:v>
      </x:c>
      <x:c r="F12" s="21" t="n">
        <x:v>348.5</x:v>
      </x:c>
      <x:c r="G12" s="21" t="n">
        <x:v>697</x:v>
      </x:c>
      <x:c r="H12" s="21" t="n">
        <x:v>5.45</x:v>
      </x:c>
      <x:c r="I12" s="22" t="n">
        <x:v>11.5</x:v>
      </x:c>
      <x:c r="J12" s="21" t="n">
        <x:v>0.1</x:v>
      </x:c>
    </x:row>
    <x:row r="13">
      <x:c r="A13" s="21" t="n">
        <x:v>3.1</x:v>
      </x:c>
      <x:c r="B13" s="21" t="n">
        <x:v>17.4</x:v>
      </x:c>
      <x:c r="C13" s="21" t="n">
        <x:v>7.3</x:v>
      </x:c>
      <x:c r="D13" s="21" t="n">
        <x:v>8.6</x:v>
      </x:c>
      <x:c r="E13" s="21" t="n">
        <x:v>1.23</x:v>
      </x:c>
      <x:c r="F13" s="21" t="n">
        <x:v>356</x:v>
      </x:c>
      <x:c r="G13" s="21" t="n">
        <x:v>712</x:v>
      </x:c>
      <x:c r="H13" s="21" t="n">
        <x:v>5.4</x:v>
      </x:c>
      <x:c r="I13" s="22" t="n">
        <x:v>150</x:v>
      </x:c>
      <x:c r="J13" s="21" t="n">
        <x:v>1.2</x:v>
      </x:c>
    </x:row>
    <x:row r="14">
      <x:c r="A14" s="21" t="n">
        <x:v>3.4</x:v>
      </x:c>
      <x:c r="B14" s="21" t="n">
        <x:v>17.633333333333333</x:v>
      </x:c>
      <x:c r="C14" s="21" t="n">
        <x:v>7.233333333333333</x:v>
      </x:c>
      <x:c r="D14" s="21" t="n">
        <x:v>8.533333333333333</x:v>
      </x:c>
      <x:c r="E14" s="21" t="n">
        <x:v>1.24</x:v>
      </x:c>
      <x:c r="F14" s="21" t="n">
        <x:v>356.6666666666667</x:v>
      </x:c>
      <x:c r="G14" s="21" t="n">
        <x:v>713.3333333333334</x:v>
      </x:c>
      <x:c r="H14" s="21" t="n">
        <x:v>5.933333333333334</x:v>
      </x:c>
      <x:c r="I14" s="22" t="n">
        <x:v>297.6666666666667</x:v>
      </x:c>
      <x:c r="J14" s="21" t="n">
        <x:v>0.5</x:v>
      </x:c>
    </x:row>
    <x:row r="15">
      <x:c r="A15" s="21" t="n">
        <x:v>3.7</x:v>
      </x:c>
      <x:c r="B15" s="21" t="n">
        <x:v>17.85</x:v>
      </x:c>
      <x:c r="C15" s="21" t="n">
        <x:v>7.15</x:v>
      </x:c>
      <x:c r="D15" s="21" t="n">
        <x:v>8.45</x:v>
      </x:c>
      <x:c r="E15" s="21" t="n">
        <x:v>1.255</x:v>
      </x:c>
      <x:c r="F15" s="21" t="n">
        <x:v>361.5</x:v>
      </x:c>
      <x:c r="G15" s="21" t="n">
        <x:v>723</x:v>
      </x:c>
      <x:c r="H15" s="21" t="n">
        <x:v>6.4</x:v>
      </x:c>
      <x:c r="I15" s="22" t="n">
        <x:v>107</x:v>
      </x:c>
      <x:c r="J15" s="21" t="n">
        <x:v>0.9</x:v>
      </x:c>
    </x:row>
    <x:row r="16">
      <x:c r="A16" s="21" t="n">
        <x:v>3.8</x:v>
      </x:c>
      <x:c r="B16" s="21" t="n">
        <x:v>18</x:v>
      </x:c>
      <x:c r="C16" s="21" t="n">
        <x:v>7.2</x:v>
      </x:c>
      <x:c r="D16" s="21" t="n">
        <x:v>8.4</x:v>
      </x:c>
      <x:c r="E16" s="21" t="n">
        <x:v>1.26</x:v>
      </x:c>
      <x:c r="F16" s="21" t="n">
        <x:v>362</x:v>
      </x:c>
      <x:c r="G16" s="21" t="n">
        <x:v>724</x:v>
      </x:c>
      <x:c r="H16" s="21" t="n">
        <x:v>6.6</x:v>
      </x:c>
      <x:c r="I16" s="22" t="n">
        <x:v>120</x:v>
      </x:c>
      <x:c r="J16" s="21" t="n">
        <x:v>2.1</x:v>
      </x:c>
    </x:row>
    <x:row r="17">
      <x:c r="A17" s="21" t="n">
        <x:v>3.9</x:v>
      </x:c>
      <x:c r="B17" s="21" t="n">
        <x:v>17.9</x:v>
      </x:c>
      <x:c r="C17" s="21" t="n">
        <x:v>7.1</x:v>
      </x:c>
      <x:c r="D17" s="21" t="n">
        <x:v>8.4</x:v>
      </x:c>
      <x:c r="E17" s="21" t="n">
        <x:v>1.26</x:v>
      </x:c>
      <x:c r="F17" s="21" t="n">
        <x:v>362</x:v>
      </x:c>
      <x:c r="G17" s="21" t="n">
        <x:v>724</x:v>
      </x:c>
      <x:c r="H17" s="21" t="n">
        <x:v>6.6</x:v>
      </x:c>
      <x:c r="I17" s="22" t="n">
        <x:v>2</x:v>
      </x:c>
      <x:c r="J17" s="21" t="n">
        <x:v>0.1</x:v>
      </x:c>
    </x:row>
    <x:row r="18">
      <x:c r="A18" s="21" t="n">
        <x:v>4</x:v>
      </x:c>
      <x:c r="B18" s="21" t="n">
        <x:v>18.1</x:v>
      </x:c>
      <x:c r="C18" s="21" t="n">
        <x:v>7.2</x:v>
      </x:c>
      <x:c r="D18" s="21" t="n">
        <x:v>8.3</x:v>
      </x:c>
      <x:c r="E18" s="21" t="n">
        <x:v>1.27</x:v>
      </x:c>
      <x:c r="F18" s="21" t="n">
        <x:v>367</x:v>
      </x:c>
      <x:c r="G18" s="21" t="n">
        <x:v>734</x:v>
      </x:c>
      <x:c r="H18" s="21" t="n">
        <x:v>7</x:v>
      </x:c>
      <x:c r="I18" s="22" t="n">
        <x:v>610</x:v>
      </x:c>
      <x:c r="J18" s="21" t="n">
        <x:v>0.3</x:v>
      </x:c>
    </x:row>
    <x:row r="19">
      <x:c r="A19" s="21" t="n">
        <x:v>4.1</x:v>
      </x:c>
      <x:c r="B19" s="21" t="n">
        <x:v>18.2</x:v>
      </x:c>
      <x:c r="C19" s="21" t="n">
        <x:v>7.1</x:v>
      </x:c>
      <x:c r="D19" s="21" t="n">
        <x:v>8.3</x:v>
      </x:c>
      <x:c r="E19" s="21" t="n">
        <x:v>1.27</x:v>
      </x:c>
      <x:c r="F19" s="21" t="n">
        <x:v>366</x:v>
      </x:c>
      <x:c r="G19" s="21" t="n">
        <x:v>732</x:v>
      </x:c>
      <x:c r="H19" s="21" t="n">
        <x:v>7.1</x:v>
      </x:c>
      <x:c r="I19" s="22" t="n">
        <x:v>560</x:v>
      </x:c>
      <x:c r="J19" s="21" t="n">
        <x:v>0.5</x:v>
      </x:c>
    </x:row>
    <x:row r="20">
      <x:c r="A20" s="21" t="n">
        <x:v>4.3</x:v>
      </x:c>
      <x:c r="B20" s="21" t="n">
        <x:v>18.3</x:v>
      </x:c>
      <x:c r="C20" s="21" t="n">
        <x:v>7.1</x:v>
      </x:c>
      <x:c r="D20" s="21" t="n">
        <x:v>8.2</x:v>
      </x:c>
      <x:c r="E20" s="21" t="n">
        <x:v>1.28</x:v>
      </x:c>
      <x:c r="F20" s="21" t="n">
        <x:v>369</x:v>
      </x:c>
      <x:c r="G20" s="21" t="n">
        <x:v>738</x:v>
      </x:c>
      <x:c r="H20" s="21" t="n">
        <x:v>7.4</x:v>
      </x:c>
      <x:c r="I20" s="22" t="n">
        <x:v>170</x:v>
      </x:c>
      <x:c r="J20" s="21" t="n">
        <x:v>2.4</x:v>
      </x:c>
    </x:row>
  </x:sheetData>
  <x:mergeCells>
    <x:mergeCell ref="A1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5.479999542236328" hidden="0" customWidth="1"/>
    <x:col min="3" max="3" width="12.789999961853027" hidden="0" customWidth="1"/>
    <x:col min="4" max="4" width="12.789999961853027" hidden="0" customWidth="1"/>
    <x:col min="5" max="5" width="12.789999961853027" hidden="0" customWidth="1"/>
  </x:cols>
  <x:sheetData>
    <x:row r="1">
      <x:c r="A1" s="4" t="str">
        <x:v>Pond Operations Data</x:v>
      </x:c>
      <x:c r="B1" s="4" t="str">
        <x:v>Pond Operations Data</x:v>
      </x:c>
      <x:c r="C1" s="4" t="str">
        <x:v>Pond Operations Data</x:v>
      </x:c>
      <x:c r="D1" s="4" t="str">
        <x:v>Pond Operations Data</x:v>
      </x:c>
      <x:c r="E1" s="4" t="str">
        <x:v>Pond Operations Data</x:v>
      </x:c>
    </x:row>
    <x:row r="2">
      <x:c r="A2" s="4" t="str">
        <x:v>Pond Operations Data</x:v>
      </x:c>
      <x:c r="B2" s="4" t="str">
        <x:v>Pond Operations Data</x:v>
      </x:c>
      <x:c r="C2" s="4" t="str">
        <x:v>Pond Operations Data</x:v>
      </x:c>
      <x:c r="D2" s="4" t="str">
        <x:v>Pond Operations Data</x:v>
      </x:c>
      <x:c r="E2" s="4" t="str">
        <x:v>Pond Operations Data</x:v>
      </x:c>
    </x:row>
    <x:row r="4">
      <x:c r="A4" s="19" t="str">
        <x:v>Sample</x:v>
      </x:c>
      <x:c r="B4" s="19" t="str">
        <x:v>Elapsed Time (s)</x:v>
      </x:c>
      <x:c r="C4" s="19" t="str">
        <x:v>Battery (%)</x:v>
      </x:c>
      <x:c r="D4" s="19" t="str">
        <x:v>Vessel Speed (m/s)</x:v>
      </x:c>
      <x:c r="E4" s="19" t="str">
        <x:v>Heading (deg)</x:v>
      </x:c>
    </x:row>
    <x:row r="5">
      <x:c r="A5" s="22" t="n">
        <x:v>1</x:v>
      </x:c>
      <x:c r="B5" s="22" t="n">
        <x:v>0</x:v>
      </x:c>
      <x:c r="C5" s="21" t="n">
        <x:v>96</x:v>
      </x:c>
      <x:c r="D5" s="23" t="n">
        <x:v>1.4</x:v>
      </x:c>
      <x:c r="E5" s="22" t="n">
        <x:v>45</x:v>
      </x:c>
    </x:row>
    <x:row r="6">
      <x:c r="A6" s="22" t="n">
        <x:v>2</x:v>
      </x:c>
      <x:c r="B6" s="22" t="n">
        <x:v>5</x:v>
      </x:c>
      <x:c r="C6" s="21" t="n">
        <x:v>96</x:v>
      </x:c>
      <x:c r="D6" s="23" t="n">
        <x:v>1.5</x:v>
      </x:c>
      <x:c r="E6" s="22" t="n">
        <x:v>47</x:v>
      </x:c>
    </x:row>
    <x:row r="7">
      <x:c r="A7" s="22" t="n">
        <x:v>3</x:v>
      </x:c>
      <x:c r="B7" s="22" t="n">
        <x:v>10</x:v>
      </x:c>
      <x:c r="C7" s="21" t="n">
        <x:v>95</x:v>
      </x:c>
      <x:c r="D7" s="23" t="n">
        <x:v>1.4</x:v>
      </x:c>
      <x:c r="E7" s="22" t="n">
        <x:v>50</x:v>
      </x:c>
    </x:row>
    <x:row r="8">
      <x:c r="A8" s="22" t="n">
        <x:v>4</x:v>
      </x:c>
      <x:c r="B8" s="22" t="n">
        <x:v>15</x:v>
      </x:c>
      <x:c r="C8" s="21" t="n">
        <x:v>95</x:v>
      </x:c>
      <x:c r="D8" s="23" t="n">
        <x:v>1.3</x:v>
      </x:c>
      <x:c r="E8" s="22" t="n">
        <x:v>52</x:v>
      </x:c>
    </x:row>
    <x:row r="9">
      <x:c r="A9" s="22" t="n">
        <x:v>5</x:v>
      </x:c>
      <x:c r="B9" s="22" t="n">
        <x:v>20</x:v>
      </x:c>
      <x:c r="C9" s="21" t="n">
        <x:v>94</x:v>
      </x:c>
      <x:c r="D9" s="23" t="n">
        <x:v>1.4</x:v>
      </x:c>
      <x:c r="E9" s="22" t="n">
        <x:v>55</x:v>
      </x:c>
    </x:row>
    <x:row r="10">
      <x:c r="A10" s="22" t="n">
        <x:v>6</x:v>
      </x:c>
      <x:c r="B10" s="22" t="n">
        <x:v>25</x:v>
      </x:c>
      <x:c r="C10" s="21" t="n">
        <x:v>94</x:v>
      </x:c>
      <x:c r="D10" s="23" t="n">
        <x:v>1.5</x:v>
      </x:c>
      <x:c r="E10" s="22" t="n">
        <x:v>57</x:v>
      </x:c>
    </x:row>
    <x:row r="11">
      <x:c r="A11" s="22" t="n">
        <x:v>7</x:v>
      </x:c>
      <x:c r="B11" s="22" t="n">
        <x:v>30</x:v>
      </x:c>
      <x:c r="C11" s="21" t="n">
        <x:v>93</x:v>
      </x:c>
      <x:c r="D11" s="23" t="n">
        <x:v>1.4</x:v>
      </x:c>
      <x:c r="E11" s="22" t="n">
        <x:v>60</x:v>
      </x:c>
    </x:row>
    <x:row r="12">
      <x:c r="A12" s="22" t="n">
        <x:v>8</x:v>
      </x:c>
      <x:c r="B12" s="22" t="n">
        <x:v>35</x:v>
      </x:c>
      <x:c r="C12" s="21" t="n">
        <x:v>93</x:v>
      </x:c>
      <x:c r="D12" s="23" t="n">
        <x:v>1.4</x:v>
      </x:c>
      <x:c r="E12" s="22" t="n">
        <x:v>63</x:v>
      </x:c>
    </x:row>
    <x:row r="13">
      <x:c r="A13" s="22" t="n">
        <x:v>9</x:v>
      </x:c>
      <x:c r="B13" s="22" t="n">
        <x:v>40</x:v>
      </x:c>
      <x:c r="C13" s="21" t="n">
        <x:v>92</x:v>
      </x:c>
      <x:c r="D13" s="23" t="n">
        <x:v>1.5</x:v>
      </x:c>
      <x:c r="E13" s="22" t="n">
        <x:v>66</x:v>
      </x:c>
    </x:row>
    <x:row r="14">
      <x:c r="A14" s="22" t="n">
        <x:v>10</x:v>
      </x:c>
      <x:c r="B14" s="22" t="n">
        <x:v>45</x:v>
      </x:c>
      <x:c r="C14" s="21" t="n">
        <x:v>92</x:v>
      </x:c>
      <x:c r="D14" s="23" t="n">
        <x:v>1.5</x:v>
      </x:c>
      <x:c r="E14" s="22" t="n">
        <x:v>69</x:v>
      </x:c>
    </x:row>
    <x:row r="15">
      <x:c r="A15" s="22" t="n">
        <x:v>11</x:v>
      </x:c>
      <x:c r="B15" s="22" t="n">
        <x:v>50</x:v>
      </x:c>
      <x:c r="C15" s="21" t="n">
        <x:v>91</x:v>
      </x:c>
      <x:c r="D15" s="23" t="n">
        <x:v>1.4</x:v>
      </x:c>
      <x:c r="E15" s="22" t="n">
        <x:v>72</x:v>
      </x:c>
    </x:row>
    <x:row r="16">
      <x:c r="A16" s="22" t="n">
        <x:v>12</x:v>
      </x:c>
      <x:c r="B16" s="22" t="n">
        <x:v>55</x:v>
      </x:c>
      <x:c r="C16" s="21" t="n">
        <x:v>91</x:v>
      </x:c>
      <x:c r="D16" s="23" t="n">
        <x:v>1.4</x:v>
      </x:c>
      <x:c r="E16" s="22" t="n">
        <x:v>75</x:v>
      </x:c>
    </x:row>
    <x:row r="17">
      <x:c r="A17" s="22" t="n">
        <x:v>13</x:v>
      </x:c>
      <x:c r="B17" s="22" t="n">
        <x:v>60</x:v>
      </x:c>
      <x:c r="C17" s="21" t="n">
        <x:v>90</x:v>
      </x:c>
      <x:c r="D17" s="23" t="n">
        <x:v>1.5</x:v>
      </x:c>
      <x:c r="E17" s="22" t="n">
        <x:v>78</x:v>
      </x:c>
    </x:row>
    <x:row r="18">
      <x:c r="A18" s="22" t="n">
        <x:v>14</x:v>
      </x:c>
      <x:c r="B18" s="22" t="n">
        <x:v>65</x:v>
      </x:c>
      <x:c r="C18" s="21" t="n">
        <x:v>90</x:v>
      </x:c>
      <x:c r="D18" s="23" t="n">
        <x:v>1.6</x:v>
      </x:c>
      <x:c r="E18" s="22" t="n">
        <x:v>80</x:v>
      </x:c>
    </x:row>
    <x:row r="19">
      <x:c r="A19" s="22" t="n">
        <x:v>15</x:v>
      </x:c>
      <x:c r="B19" s="22" t="n">
        <x:v>70</x:v>
      </x:c>
      <x:c r="C19" s="21" t="n">
        <x:v>89</x:v>
      </x:c>
      <x:c r="D19" s="23" t="n">
        <x:v>1.6</x:v>
      </x:c>
      <x:c r="E19" s="22" t="n">
        <x:v>82</x:v>
      </x:c>
    </x:row>
    <x:row r="20">
      <x:c r="A20" s="22" t="n">
        <x:v>16</x:v>
      </x:c>
      <x:c r="B20" s="22" t="n">
        <x:v>75</x:v>
      </x:c>
      <x:c r="C20" s="21" t="n">
        <x:v>89</x:v>
      </x:c>
      <x:c r="D20" s="23" t="n">
        <x:v>1.5</x:v>
      </x:c>
      <x:c r="E20" s="22" t="n">
        <x:v>84</x:v>
      </x:c>
    </x:row>
    <x:row r="21">
      <x:c r="A21" s="22" t="n">
        <x:v>17</x:v>
      </x:c>
      <x:c r="B21" s="22" t="n">
        <x:v>80</x:v>
      </x:c>
      <x:c r="C21" s="21" t="n">
        <x:v>88</x:v>
      </x:c>
      <x:c r="D21" s="23" t="n">
        <x:v>1.5</x:v>
      </x:c>
      <x:c r="E21" s="22" t="n">
        <x:v>86</x:v>
      </x:c>
    </x:row>
    <x:row r="22">
      <x:c r="A22" s="22" t="n">
        <x:v>18</x:v>
      </x:c>
      <x:c r="B22" s="22" t="n">
        <x:v>85</x:v>
      </x:c>
      <x:c r="C22" s="21" t="n">
        <x:v>88</x:v>
      </x:c>
      <x:c r="D22" s="23" t="n">
        <x:v>1.6</x:v>
      </x:c>
      <x:c r="E22" s="22" t="n">
        <x:v>88</x:v>
      </x:c>
    </x:row>
    <x:row r="23">
      <x:c r="A23" s="22" t="n">
        <x:v>19</x:v>
      </x:c>
      <x:c r="B23" s="22" t="n">
        <x:v>90</x:v>
      </x:c>
      <x:c r="C23" s="21" t="n">
        <x:v>87</x:v>
      </x:c>
      <x:c r="D23" s="23" t="n">
        <x:v>1.6</x:v>
      </x:c>
      <x:c r="E23" s="22" t="n">
        <x:v>90</x:v>
      </x:c>
    </x:row>
    <x:row r="24">
      <x:c r="A24" s="22" t="n">
        <x:v>20</x:v>
      </x:c>
      <x:c r="B24" s="22" t="n">
        <x:v>95</x:v>
      </x:c>
      <x:c r="C24" s="21" t="n">
        <x:v>87</x:v>
      </x:c>
      <x:c r="D24" s="23" t="n">
        <x:v>1.5</x:v>
      </x:c>
      <x:c r="E24" s="22" t="n">
        <x:v>92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1.4399995803833" hidden="0" customWidth="1"/>
    <x:col min="3" max="3" width="12.109999656677246" hidden="0" customWidth="1"/>
    <x:col min="4" max="4" width="12.109999656677246" hidden="0" customWidth="1"/>
    <x:col min="5" max="5" width="11.4399995803833" hidden="0" customWidth="1"/>
    <x:col min="6" max="6" width="11.4399995803833" hidden="0" customWidth="1"/>
    <x:col min="7" max="7" width="11.4399995803833" hidden="0" customWidth="1"/>
    <x:col min="8" max="8" width="12.789999961853027" hidden="0" customWidth="1"/>
    <x:col min="9" max="9" width="8.75" hidden="0" customWidth="1"/>
    <x:col min="10" max="10" width="14.130000114440918" hidden="0" customWidth="1"/>
    <x:col min="11" max="11" width="10.09000015258789" hidden="0" customWidth="1"/>
    <x:col min="12" max="12" width="11.4399995803833" hidden="0" customWidth="1"/>
    <x:col min="13" max="13" width="14.130000114440918" hidden="0" customWidth="1"/>
    <x:col min="14" max="14" width="11.4399995803833" hidden="0" customWidth="1"/>
    <x:col min="15" max="15" width="11.4399995803833" hidden="0" customWidth="1"/>
    <x:col min="16" max="16" width="8.75" hidden="0" customWidth="1"/>
    <x:col min="17" max="17" width="10.09000015258789" hidden="0" customWidth="1"/>
    <x:col min="18" max="18" width="11.4399995803833" hidden="0" customWidth="1"/>
    <x:col min="19" max="19" width="10.09000015258789" hidden="0" customWidth="1"/>
  </x:cols>
  <x:sheetData>
    <x:row r="1">
      <x:c r="A1" s="4" t="str">
        <x:v>Pond Area Map Source Data</x:v>
      </x:c>
      <x:c r="B1" s="4" t="str">
        <x:v>Pond Area Map Source Data</x:v>
      </x:c>
      <x:c r="C1" s="4" t="str">
        <x:v>Pond Area Map Source Data</x:v>
      </x:c>
      <x:c r="D1" s="4" t="str">
        <x:v>Pond Area Map Source Data</x:v>
      </x:c>
      <x:c r="E1" s="4" t="str">
        <x:v>Pond Area Map Source Data</x:v>
      </x:c>
      <x:c r="F1" s="4" t="str">
        <x:v>Pond Area Map Source Data</x:v>
      </x:c>
      <x:c r="G1" s="4" t="str">
        <x:v>Pond Area Map Source Data</x:v>
      </x:c>
      <x:c r="H1" s="4" t="str">
        <x:v>Pond Area Map Source Data</x:v>
      </x:c>
      <x:c r="I1" s="4" t="str">
        <x:v>Pond Area Map Source Data</x:v>
      </x:c>
      <x:c r="J1" s="4" t="str">
        <x:v>Pond Area Map Source Data</x:v>
      </x:c>
      <x:c r="K1" s="4" t="str">
        <x:v>Pond Area Map Source Data</x:v>
      </x:c>
      <x:c r="L1" s="4" t="str">
        <x:v>Pond Area Map Source Data</x:v>
      </x:c>
      <x:c r="M1" s="4" t="str">
        <x:v>Pond Area Map Source Data</x:v>
      </x:c>
      <x:c r="N1" s="4" t="str">
        <x:v>Pond Area Map Source Data</x:v>
      </x:c>
      <x:c r="O1" s="4" t="str">
        <x:v>Pond Area Map Source Data</x:v>
      </x:c>
      <x:c r="P1" s="4" t="str">
        <x:v>Pond Area Map Source Data</x:v>
      </x:c>
      <x:c r="Q1" s="4" t="str">
        <x:v>Pond Area Map Source Data</x:v>
      </x:c>
      <x:c r="R1" s="4" t="str">
        <x:v>Pond Area Map Source Data</x:v>
      </x:c>
      <x:c r="S1" s="4" t="str">
        <x:v>Pond Area Map Source Data</x:v>
      </x:c>
    </x:row>
    <x:row r="2">
      <x:c r="A2" s="4" t="str">
        <x:v>Pond Area Map Source Data</x:v>
      </x:c>
      <x:c r="B2" s="4" t="str">
        <x:v>Pond Area Map Source Data</x:v>
      </x:c>
      <x:c r="C2" s="4" t="str">
        <x:v>Pond Area Map Source Data</x:v>
      </x:c>
      <x:c r="D2" s="4" t="str">
        <x:v>Pond Area Map Source Data</x:v>
      </x:c>
      <x:c r="E2" s="4" t="str">
        <x:v>Pond Area Map Source Data</x:v>
      </x:c>
      <x:c r="F2" s="4" t="str">
        <x:v>Pond Area Map Source Data</x:v>
      </x:c>
      <x:c r="G2" s="4" t="str">
        <x:v>Pond Area Map Source Data</x:v>
      </x:c>
      <x:c r="H2" s="4" t="str">
        <x:v>Pond Area Map Source Data</x:v>
      </x:c>
      <x:c r="I2" s="4" t="str">
        <x:v>Pond Area Map Source Data</x:v>
      </x:c>
      <x:c r="J2" s="4" t="str">
        <x:v>Pond Area Map Source Data</x:v>
      </x:c>
      <x:c r="K2" s="4" t="str">
        <x:v>Pond Area Map Source Data</x:v>
      </x:c>
      <x:c r="L2" s="4" t="str">
        <x:v>Pond Area Map Source Data</x:v>
      </x:c>
      <x:c r="M2" s="4" t="str">
        <x:v>Pond Area Map Source Data</x:v>
      </x:c>
      <x:c r="N2" s="4" t="str">
        <x:v>Pond Area Map Source Data</x:v>
      </x:c>
      <x:c r="O2" s="4" t="str">
        <x:v>Pond Area Map Source Data</x:v>
      </x:c>
      <x:c r="P2" s="4" t="str">
        <x:v>Pond Area Map Source Data</x:v>
      </x:c>
      <x:c r="Q2" s="4" t="str">
        <x:v>Pond Area Map Source Data</x:v>
      </x:c>
      <x:c r="R2" s="4" t="str">
        <x:v>Pond Area Map Source Data</x:v>
      </x:c>
      <x:c r="S2" s="4" t="str">
        <x:v>Pond Area Map Source Data</x:v>
      </x:c>
    </x:row>
    <x:row r="4">
      <x:c r="A4" s="19" t="str">
        <x:v>Sample</x:v>
      </x:c>
      <x:c r="B4" s="19" t="str">
        <x:v>Elapsed (s)</x:v>
      </x:c>
      <x:c r="C4" s="19" t="str">
        <x:v>Latitude</x:v>
      </x:c>
      <x:c r="D4" s="19" t="str">
        <x:v>Longitude</x:v>
      </x:c>
      <x:c r="E4" s="19" t="str">
        <x:v>X from start (m)</x:v>
      </x:c>
      <x:c r="F4" s="19" t="str">
        <x:v>Y from start (m)</x:v>
      </x:c>
      <x:c r="G4" s="19" t="str">
        <x:v>Depth (m)</x:v>
      </x:c>
      <x:c r="H4" s="19" t="str">
        <x:v>Temperature</x:v>
      </x:c>
      <x:c r="I4" s="19" t="str">
        <x:v>pH</x:v>
      </x:c>
      <x:c r="J4" s="19" t="str">
        <x:v>Dissolved Oxygen</x:v>
      </x:c>
      <x:c r="K4" s="19" t="str">
        <x:v>Salinity</x:v>
      </x:c>
      <x:c r="L4" s="19" t="str">
        <x:v>TDS</x:v>
      </x:c>
      <x:c r="M4" s="19" t="str">
        <x:v>Conductivity</x:v>
      </x:c>
      <x:c r="N4" s="19" t="str">
        <x:v>Turbidity</x:v>
      </x:c>
      <x:c r="O4" s="19" t="str">
        <x:v>Light</x:v>
      </x:c>
      <x:c r="P4" s="19" t="str">
        <x:v>UV</x:v>
      </x:c>
      <x:c r="Q4" s="19" t="str">
        <x:v>Battery</x:v>
      </x:c>
      <x:c r="R4" s="19" t="str">
        <x:v>Speed</x:v>
      </x:c>
      <x:c r="S4" s="19" t="str">
        <x:v>Heading</x:v>
      </x:c>
    </x:row>
    <x:row r="5">
      <x:c r="A5" s="20" t="n">
        <x:v>1</x:v>
      </x:c>
      <x:c r="B5" s="20" t="n">
        <x:v>0</x:v>
      </x:c>
      <x:c r="C5" s="20" t="n">
        <x:v>37.4251</x:v>
      </x:c>
      <x:c r="D5" s="20" t="n">
        <x:v>-122.0841</x:v>
      </x:c>
      <x:c r="E5" s="20" t="n">
        <x:v>0</x:v>
      </x:c>
      <x:c r="F5" s="20" t="n">
        <x:v>0</x:v>
      </x:c>
      <x:c r="G5" s="20" t="n">
        <x:v>2.2</x:v>
      </x:c>
      <x:c r="H5" s="20" t="n">
        <x:v>16.8</x:v>
      </x:c>
      <x:c r="I5" s="20" t="n">
        <x:v>7.4</x:v>
      </x:c>
      <x:c r="J5" s="20" t="n">
        <x:v>8.9</x:v>
      </x:c>
      <x:c r="K5" s="20" t="n">
        <x:v>1.18</x:v>
      </x:c>
      <x:c r="L5" s="20" t="n">
        <x:v>332</x:v>
      </x:c>
      <x:c r="M5" s="20" t="n">
        <x:v>664</x:v>
      </x:c>
      <x:c r="N5" s="20" t="n">
        <x:v>4.8</x:v>
      </x:c>
      <x:c r="O5" s="20" t="n">
        <x:v>6</x:v>
      </x:c>
      <x:c r="P5" s="20" t="n">
        <x:v>0</x:v>
      </x:c>
      <x:c r="Q5" s="20" t="n">
        <x:v>96</x:v>
      </x:c>
      <x:c r="R5" s="20" t="n">
        <x:v>1.4</x:v>
      </x:c>
      <x:c r="S5" s="20" t="n">
        <x:v>45</x:v>
      </x:c>
    </x:row>
    <x:row r="6">
      <x:c r="A6" s="20" t="n">
        <x:v>2</x:v>
      </x:c>
      <x:c r="B6" s="20" t="n">
        <x:v>5</x:v>
      </x:c>
      <x:c r="C6" s="20" t="n">
        <x:v>37.42512</x:v>
      </x:c>
      <x:c r="D6" s="20" t="n">
        <x:v>-122.08405</x:v>
      </x:c>
      <x:c r="E6" s="20" t="n">
        <x:v>4.4202303649041825</x:v>
      </x:c>
      <x:c r="F6" s="20" t="n">
        <x:v>2.2263999999157136</x:v>
      </x:c>
      <x:c r="G6" s="20" t="n">
        <x:v>2.4</x:v>
      </x:c>
      <x:c r="H6" s="20" t="n">
        <x:v>17</x:v>
      </x:c>
      <x:c r="I6" s="20" t="n">
        <x:v>7.4</x:v>
      </x:c>
      <x:c r="J6" s="20" t="n">
        <x:v>8.8</x:v>
      </x:c>
      <x:c r="K6" s="20" t="n">
        <x:v>1.19</x:v>
      </x:c>
      <x:c r="L6" s="20" t="n">
        <x:v>336</x:v>
      </x:c>
      <x:c r="M6" s="20" t="n">
        <x:v>672</x:v>
      </x:c>
      <x:c r="N6" s="20" t="n">
        <x:v>4.9</x:v>
      </x:c>
      <x:c r="O6" s="20" t="n">
        <x:v>4</x:v>
      </x:c>
      <x:c r="P6" s="20" t="n">
        <x:v>0.1</x:v>
      </x:c>
      <x:c r="Q6" s="20" t="n">
        <x:v>96</x:v>
      </x:c>
      <x:c r="R6" s="20" t="n">
        <x:v>1.5</x:v>
      </x:c>
      <x:c r="S6" s="20" t="n">
        <x:v>47</x:v>
      </x:c>
    </x:row>
    <x:row r="7">
      <x:c r="A7" s="20" t="n">
        <x:v>3</x:v>
      </x:c>
      <x:c r="B7" s="20" t="n">
        <x:v>10</x:v>
      </x:c>
      <x:c r="C7" s="20" t="n">
        <x:v>37.42514</x:v>
      </x:c>
      <x:c r="D7" s="20" t="n">
        <x:v>-122.084</x:v>
      </x:c>
      <x:c r="E7" s="20" t="n">
        <x:v>8.840460729808365</x:v>
      </x:c>
      <x:c r="F7" s="20" t="n">
        <x:v>4.452799999831427</x:v>
      </x:c>
      <x:c r="G7" s="20" t="n">
        <x:v>2.7</x:v>
      </x:c>
      <x:c r="H7" s="20" t="n">
        <x:v>17.1</x:v>
      </x:c>
      <x:c r="I7" s="20" t="n">
        <x:v>7.3</x:v>
      </x:c>
      <x:c r="J7" s="20" t="n">
        <x:v>8.7</x:v>
      </x:c>
      <x:c r="K7" s="20" t="n">
        <x:v>1.2</x:v>
      </x:c>
      <x:c r="L7" s="20" t="n">
        <x:v>340</x:v>
      </x:c>
      <x:c r="M7" s="20" t="n">
        <x:v>680</x:v>
      </x:c>
      <x:c r="N7" s="20" t="n">
        <x:v>5.1</x:v>
      </x:c>
      <x:c r="O7" s="20" t="n">
        <x:v>9</x:v>
      </x:c>
      <x:c r="P7" s="20" t="n">
        <x:v>0</x:v>
      </x:c>
      <x:c r="Q7" s="20" t="n">
        <x:v>95</x:v>
      </x:c>
      <x:c r="R7" s="20" t="n">
        <x:v>1.4</x:v>
      </x:c>
      <x:c r="S7" s="20" t="n">
        <x:v>50</x:v>
      </x:c>
    </x:row>
    <x:row r="8">
      <x:c r="A8" s="20" t="n">
        <x:v>4</x:v>
      </x:c>
      <x:c r="B8" s="20" t="n">
        <x:v>15</x:v>
      </x:c>
      <x:c r="C8" s="20" t="n">
        <x:v>37.42516</x:v>
      </x:c>
      <x:c r="D8" s="20" t="n">
        <x:v>-122.08395</x:v>
      </x:c>
      <x:c r="E8" s="20" t="n">
        <x:v>13.260691094712547</x:v>
      </x:c>
      <x:c r="F8" s="20" t="n">
        <x:v>6.679199999747141</x:v>
      </x:c>
      <x:c r="G8" s="20" t="n">
        <x:v>3</x:v>
      </x:c>
      <x:c r="H8" s="20" t="n">
        <x:v>17.4</x:v>
      </x:c>
      <x:c r="I8" s="20" t="n">
        <x:v>7.3</x:v>
      </x:c>
      <x:c r="J8" s="20" t="n">
        <x:v>8.6</x:v>
      </x:c>
      <x:c r="K8" s="20" t="n">
        <x:v>1.22</x:v>
      </x:c>
      <x:c r="L8" s="20" t="n">
        <x:v>347</x:v>
      </x:c>
      <x:c r="M8" s="20" t="n">
        <x:v>694</x:v>
      </x:c>
      <x:c r="N8" s="20" t="n">
        <x:v>5.5</x:v>
      </x:c>
      <x:c r="O8" s="20" t="n">
        <x:v>18</x:v>
      </x:c>
      <x:c r="P8" s="20" t="n">
        <x:v>0.2</x:v>
      </x:c>
      <x:c r="Q8" s="20" t="n">
        <x:v>95</x:v>
      </x:c>
      <x:c r="R8" s="20" t="n">
        <x:v>1.3</x:v>
      </x:c>
      <x:c r="S8" s="20" t="n">
        <x:v>52</x:v>
      </x:c>
    </x:row>
    <x:row r="9">
      <x:c r="A9" s="20" t="n">
        <x:v>5</x:v>
      </x:c>
      <x:c r="B9" s="20" t="n">
        <x:v>20</x:v>
      </x:c>
      <x:c r="C9" s="20" t="n">
        <x:v>37.42518</x:v>
      </x:c>
      <x:c r="D9" s="20" t="n">
        <x:v>-122.0839</x:v>
      </x:c>
      <x:c r="E9" s="20" t="n">
        <x:v>17.68092145961673</x:v>
      </x:c>
      <x:c r="F9" s="20" t="n">
        <x:v>8.905599999662854</x:v>
      </x:c>
      <x:c r="G9" s="20" t="n">
        <x:v>3.4</x:v>
      </x:c>
      <x:c r="H9" s="20" t="n">
        <x:v>17.7</x:v>
      </x:c>
      <x:c r="I9" s="20" t="n">
        <x:v>7.2</x:v>
      </x:c>
      <x:c r="J9" s="20" t="n">
        <x:v>8.5</x:v>
      </x:c>
      <x:c r="K9" s="20" t="n">
        <x:v>1.24</x:v>
      </x:c>
      <x:c r="L9" s="20" t="n">
        <x:v>355</x:v>
      </x:c>
      <x:c r="M9" s="20" t="n">
        <x:v>710</x:v>
      </x:c>
      <x:c r="N9" s="20" t="n">
        <x:v>6</x:v>
      </x:c>
      <x:c r="O9" s="20" t="n">
        <x:v>420</x:v>
      </x:c>
      <x:c r="P9" s="20" t="n">
        <x:v>0.9</x:v>
      </x:c>
      <x:c r="Q9" s="20" t="n">
        <x:v>94</x:v>
      </x:c>
      <x:c r="R9" s="20" t="n">
        <x:v>1.4</x:v>
      </x:c>
      <x:c r="S9" s="20" t="n">
        <x:v>55</x:v>
      </x:c>
    </x:row>
    <x:row r="10">
      <x:c r="A10" s="20" t="n">
        <x:v>6</x:v>
      </x:c>
      <x:c r="B10" s="20" t="n">
        <x:v>25</x:v>
      </x:c>
      <x:c r="C10" s="20" t="n">
        <x:v>37.4252</x:v>
      </x:c>
      <x:c r="D10" s="20" t="n">
        <x:v>-122.08385</x:v>
      </x:c>
      <x:c r="E10" s="20" t="n">
        <x:v>22.10115182452091</x:v>
      </x:c>
      <x:c r="F10" s="20" t="n">
        <x:v>11.131999999578568</x:v>
      </x:c>
      <x:c r="G10" s="20" t="n">
        <x:v>3.8</x:v>
      </x:c>
      <x:c r="H10" s="20" t="n">
        <x:v>18</x:v>
      </x:c>
      <x:c r="I10" s="20" t="n">
        <x:v>7.2</x:v>
      </x:c>
      <x:c r="J10" s="20" t="n">
        <x:v>8.4</x:v>
      </x:c>
      <x:c r="K10" s="20" t="n">
        <x:v>1.26</x:v>
      </x:c>
      <x:c r="L10" s="20" t="n">
        <x:v>362</x:v>
      </x:c>
      <x:c r="M10" s="20" t="n">
        <x:v>724</x:v>
      </x:c>
      <x:c r="N10" s="20" t="n">
        <x:v>6.6</x:v>
      </x:c>
      <x:c r="O10" s="20" t="n">
        <x:v>120</x:v>
      </x:c>
      <x:c r="P10" s="20" t="n">
        <x:v>2.1</x:v>
      </x:c>
      <x:c r="Q10" s="20" t="n">
        <x:v>94</x:v>
      </x:c>
      <x:c r="R10" s="20" t="n">
        <x:v>1.5</x:v>
      </x:c>
      <x:c r="S10" s="20" t="n">
        <x:v>57</x:v>
      </x:c>
    </x:row>
    <x:row r="11">
      <x:c r="A11" s="20" t="n">
        <x:v>7</x:v>
      </x:c>
      <x:c r="B11" s="20" t="n">
        <x:v>30</x:v>
      </x:c>
      <x:c r="C11" s="20" t="n">
        <x:v>37.42523</x:v>
      </x:c>
      <x:c r="D11" s="20" t="n">
        <x:v>-122.0838</x:v>
      </x:c>
      <x:c r="E11" s="20" t="n">
        <x:v>26.521382189425093</x:v>
      </x:c>
      <x:c r="F11" s="20" t="n">
        <x:v>14.471599999847626</x:v>
      </x:c>
      <x:c r="G11" s="20" t="n">
        <x:v>4.1</x:v>
      </x:c>
      <x:c r="H11" s="20" t="n">
        <x:v>18.2</x:v>
      </x:c>
      <x:c r="I11" s="20" t="n">
        <x:v>7.1</x:v>
      </x:c>
      <x:c r="J11" s="20" t="n">
        <x:v>8.3</x:v>
      </x:c>
      <x:c r="K11" s="20" t="n">
        <x:v>1.27</x:v>
      </x:c>
      <x:c r="L11" s="20" t="n">
        <x:v>366</x:v>
      </x:c>
      <x:c r="M11" s="20" t="n">
        <x:v>732</x:v>
      </x:c>
      <x:c r="N11" s="20" t="n">
        <x:v>7.1</x:v>
      </x:c>
      <x:c r="O11" s="20" t="n">
        <x:v>560</x:v>
      </x:c>
      <x:c r="P11" s="20" t="n">
        <x:v>0.5</x:v>
      </x:c>
      <x:c r="Q11" s="20" t="n">
        <x:v>93</x:v>
      </x:c>
      <x:c r="R11" s="20" t="n">
        <x:v>1.4</x:v>
      </x:c>
      <x:c r="S11" s="20" t="n">
        <x:v>60</x:v>
      </x:c>
    </x:row>
    <x:row r="12">
      <x:c r="A12" s="20" t="n">
        <x:v>8</x:v>
      </x:c>
      <x:c r="B12" s="20" t="n">
        <x:v>35</x:v>
      </x:c>
      <x:c r="C12" s="20" t="n">
        <x:v>37.42526</x:v>
      </x:c>
      <x:c r="D12" s="20" t="n">
        <x:v>-122.08375</x:v>
      </x:c>
      <x:c r="E12" s="20" t="n">
        <x:v>30.941612554329275</x:v>
      </x:c>
      <x:c r="F12" s="20" t="n">
        <x:v>17.811200000116685</x:v>
      </x:c>
      <x:c r="G12" s="20" t="n">
        <x:v>4.3</x:v>
      </x:c>
      <x:c r="H12" s="20" t="n">
        <x:v>18.3</x:v>
      </x:c>
      <x:c r="I12" s="20" t="n">
        <x:v>7.1</x:v>
      </x:c>
      <x:c r="J12" s="20" t="n">
        <x:v>8.2</x:v>
      </x:c>
      <x:c r="K12" s="20" t="n">
        <x:v>1.28</x:v>
      </x:c>
      <x:c r="L12" s="20" t="n">
        <x:v>369</x:v>
      </x:c>
      <x:c r="M12" s="20" t="n">
        <x:v>738</x:v>
      </x:c>
      <x:c r="N12" s="20" t="n">
        <x:v>7.4</x:v>
      </x:c>
      <x:c r="O12" s="20" t="n">
        <x:v>170</x:v>
      </x:c>
      <x:c r="P12" s="20" t="n">
        <x:v>2.4</x:v>
      </x:c>
      <x:c r="Q12" s="20" t="n">
        <x:v>93</x:v>
      </x:c>
      <x:c r="R12" s="20" t="n">
        <x:v>1.4</x:v>
      </x:c>
      <x:c r="S12" s="20" t="n">
        <x:v>63</x:v>
      </x:c>
    </x:row>
    <x:row r="13">
      <x:c r="A13" s="20" t="n">
        <x:v>9</x:v>
      </x:c>
      <x:c r="B13" s="20" t="n">
        <x:v>40</x:v>
      </x:c>
      <x:c r="C13" s="20" t="n">
        <x:v>37.4253</x:v>
      </x:c>
      <x:c r="D13" s="20" t="n">
        <x:v>-122.0837</x:v>
      </x:c>
      <x:c r="E13" s="20" t="n">
        <x:v>35.36184291923346</x:v>
      </x:c>
      <x:c r="F13" s="20" t="n">
        <x:v>22.263999999948112</x:v>
      </x:c>
      <x:c r="G13" s="20" t="n">
        <x:v>4</x:v>
      </x:c>
      <x:c r="H13" s="20" t="n">
        <x:v>18.1</x:v>
      </x:c>
      <x:c r="I13" s="20" t="n">
        <x:v>7.2</x:v>
      </x:c>
      <x:c r="J13" s="20" t="n">
        <x:v>8.3</x:v>
      </x:c>
      <x:c r="K13" s="20" t="n">
        <x:v>1.27</x:v>
      </x:c>
      <x:c r="L13" s="20" t="n">
        <x:v>367</x:v>
      </x:c>
      <x:c r="M13" s="20" t="n">
        <x:v>734</x:v>
      </x:c>
      <x:c r="N13" s="20" t="n">
        <x:v>7</x:v>
      </x:c>
      <x:c r="O13" s="20" t="n">
        <x:v>610</x:v>
      </x:c>
      <x:c r="P13" s="20" t="n">
        <x:v>0.3</x:v>
      </x:c>
      <x:c r="Q13" s="20" t="n">
        <x:v>92</x:v>
      </x:c>
      <x:c r="R13" s="20" t="n">
        <x:v>1.5</x:v>
      </x:c>
      <x:c r="S13" s="20" t="n">
        <x:v>66</x:v>
      </x:c>
    </x:row>
    <x:row r="14">
      <x:c r="A14" s="20" t="n">
        <x:v>10</x:v>
      </x:c>
      <x:c r="B14" s="20" t="n">
        <x:v>45</x:v>
      </x:c>
      <x:c r="C14" s="20" t="n">
        <x:v>37.42534</x:v>
      </x:c>
      <x:c r="D14" s="20" t="n">
        <x:v>-122.08365</x:v>
      </x:c>
      <x:c r="E14" s="20" t="n">
        <x:v>39.782073282881335</x:v>
      </x:c>
      <x:c r="F14" s="20" t="n">
        <x:v>26.71679999977954</x:v>
      </x:c>
      <x:c r="G14" s="20" t="n">
        <x:v>3.7</x:v>
      </x:c>
      <x:c r="H14" s="20" t="n">
        <x:v>17.9</x:v>
      </x:c>
      <x:c r="I14" s="20" t="n">
        <x:v>7.2</x:v>
      </x:c>
      <x:c r="J14" s="20" t="n">
        <x:v>8.4</x:v>
      </x:c>
      <x:c r="K14" s="20" t="n">
        <x:v>1.26</x:v>
      </x:c>
      <x:c r="L14" s="20" t="n">
        <x:v>364</x:v>
      </x:c>
      <x:c r="M14" s="20" t="n">
        <x:v>728</x:v>
      </x:c>
      <x:c r="N14" s="20" t="n">
        <x:v>6.5</x:v>
      </x:c>
      <x:c r="O14" s="20" t="n">
        <x:v>210</x:v>
      </x:c>
      <x:c r="P14" s="20" t="n">
        <x:v>1.8</x:v>
      </x:c>
      <x:c r="Q14" s="20" t="n">
        <x:v>92</x:v>
      </x:c>
      <x:c r="R14" s="20" t="n">
        <x:v>1.5</x:v>
      </x:c>
      <x:c r="S14" s="20" t="n">
        <x:v>69</x:v>
      </x:c>
    </x:row>
    <x:row r="15">
      <x:c r="A15" s="20" t="n">
        <x:v>11</x:v>
      </x:c>
      <x:c r="B15" s="20" t="n">
        <x:v>50</x:v>
      </x:c>
      <x:c r="C15" s="20" t="n">
        <x:v>37.42538</x:v>
      </x:c>
      <x:c r="D15" s="20" t="n">
        <x:v>-122.0836</x:v>
      </x:c>
      <x:c r="E15" s="20" t="n">
        <x:v>44.20230364778552</x:v>
      </x:c>
      <x:c r="F15" s="20" t="n">
        <x:v>31.169599999610966</x:v>
      </x:c>
      <x:c r="G15" s="20" t="n">
        <x:v>3.4</x:v>
      </x:c>
      <x:c r="H15" s="20" t="n">
        <x:v>17.6</x:v>
      </x:c>
      <x:c r="I15" s="20" t="n">
        <x:v>7.3</x:v>
      </x:c>
      <x:c r="J15" s="20" t="n">
        <x:v>8.5</x:v>
      </x:c>
      <x:c r="K15" s="20" t="n">
        <x:v>1.24</x:v>
      </x:c>
      <x:c r="L15" s="20" t="n">
        <x:v>360</x:v>
      </x:c>
      <x:c r="M15" s="20" t="n">
        <x:v>720</x:v>
      </x:c>
      <x:c r="N15" s="20" t="n">
        <x:v>5.9</x:v>
      </x:c>
      <x:c r="O15" s="20" t="n">
        <x:v>470</x:v>
      </x:c>
      <x:c r="P15" s="20" t="n">
        <x:v>0.4</x:v>
      </x:c>
      <x:c r="Q15" s="20" t="n">
        <x:v>91</x:v>
      </x:c>
      <x:c r="R15" s="20" t="n">
        <x:v>1.4</x:v>
      </x:c>
      <x:c r="S15" s="20" t="n">
        <x:v>72</x:v>
      </x:c>
    </x:row>
    <x:row r="16">
      <x:c r="A16" s="20" t="n">
        <x:v>12</x:v>
      </x:c>
      <x:c r="B16" s="20" t="n">
        <x:v>55</x:v>
      </x:c>
      <x:c r="C16" s="20" t="n">
        <x:v>37.42542</x:v>
      </x:c>
      <x:c r="D16" s="20" t="n">
        <x:v>-122.08355</x:v>
      </x:c>
      <x:c r="E16" s="20" t="n">
        <x:v>48.6225340126897</x:v>
      </x:c>
      <x:c r="F16" s="20" t="n">
        <x:v>35.62240000023337</x:v>
      </x:c>
      <x:c r="G16" s="20" t="n">
        <x:v>3.1</x:v>
      </x:c>
      <x:c r="H16" s="20" t="n">
        <x:v>17.4</x:v>
      </x:c>
      <x:c r="I16" s="20" t="n">
        <x:v>7.3</x:v>
      </x:c>
      <x:c r="J16" s="20" t="n">
        <x:v>8.6</x:v>
      </x:c>
      <x:c r="K16" s="20" t="n">
        <x:v>1.23</x:v>
      </x:c>
      <x:c r="L16" s="20" t="n">
        <x:v>356</x:v>
      </x:c>
      <x:c r="M16" s="20" t="n">
        <x:v>712</x:v>
      </x:c>
      <x:c r="N16" s="20" t="n">
        <x:v>5.4</x:v>
      </x:c>
      <x:c r="O16" s="20" t="n">
        <x:v>150</x:v>
      </x:c>
      <x:c r="P16" s="20" t="n">
        <x:v>1.2</x:v>
      </x:c>
      <x:c r="Q16" s="20" t="n">
        <x:v>91</x:v>
      </x:c>
      <x:c r="R16" s="20" t="n">
        <x:v>1.4</x:v>
      </x:c>
      <x:c r="S16" s="20" t="n">
        <x:v>75</x:v>
      </x:c>
    </x:row>
    <x:row r="17">
      <x:c r="A17" s="20" t="n">
        <x:v>13</x:v>
      </x:c>
      <x:c r="B17" s="20" t="n">
        <x:v>60</x:v>
      </x:c>
      <x:c r="C17" s="20" t="n">
        <x:v>37.42546</x:v>
      </x:c>
      <x:c r="D17" s="20" t="n">
        <x:v>-122.0835</x:v>
      </x:c>
      <x:c r="E17" s="20" t="n">
        <x:v>53.04276437759388</x:v>
      </x:c>
      <x:c r="F17" s="20" t="n">
        <x:v>40.0752000000648</x:v>
      </x:c>
      <x:c r="G17" s="20" t="n">
        <x:v>2.8</x:v>
      </x:c>
      <x:c r="H17" s="20" t="n">
        <x:v>17.2</x:v>
      </x:c>
      <x:c r="I17" s="20" t="n">
        <x:v>7.4</x:v>
      </x:c>
      <x:c r="J17" s="20" t="n">
        <x:v>8.7</x:v>
      </x:c>
      <x:c r="K17" s="20" t="n">
        <x:v>1.22</x:v>
      </x:c>
      <x:c r="L17" s="20" t="n">
        <x:v>351</x:v>
      </x:c>
      <x:c r="M17" s="20" t="n">
        <x:v>702</x:v>
      </x:c>
      <x:c r="N17" s="20" t="n">
        <x:v>5.1</x:v>
      </x:c>
      <x:c r="O17" s="20" t="n">
        <x:v>360</x:v>
      </x:c>
      <x:c r="P17" s="20" t="n">
        <x:v>0.2</x:v>
      </x:c>
      <x:c r="Q17" s="20" t="n">
        <x:v>90</x:v>
      </x:c>
      <x:c r="R17" s="20" t="n">
        <x:v>1.5</x:v>
      </x:c>
      <x:c r="S17" s="20" t="n">
        <x:v>78</x:v>
      </x:c>
    </x:row>
    <x:row r="18">
      <x:c r="A18" s="20" t="n">
        <x:v>14</x:v>
      </x:c>
      <x:c r="B18" s="20" t="n">
        <x:v>65</x:v>
      </x:c>
      <x:c r="C18" s="20" t="n">
        <x:v>37.4255</x:v>
      </x:c>
      <x:c r="D18" s="20" t="n">
        <x:v>-122.08345</x:v>
      </x:c>
      <x:c r="E18" s="20" t="n">
        <x:v>57.46299474249807</x:v>
      </x:c>
      <x:c r="F18" s="20" t="n">
        <x:v>44.527999999896224</x:v>
      </x:c>
      <x:c r="G18" s="20" t="n">
        <x:v>2.5</x:v>
      </x:c>
      <x:c r="H18" s="20" t="n">
        <x:v>17</x:v>
      </x:c>
      <x:c r="I18" s="20" t="n">
        <x:v>7.4</x:v>
      </x:c>
      <x:c r="J18" s="20" t="n">
        <x:v>8.8</x:v>
      </x:c>
      <x:c r="K18" s="20" t="n">
        <x:v>1.21</x:v>
      </x:c>
      <x:c r="L18" s="20" t="n">
        <x:v>347</x:v>
      </x:c>
      <x:c r="M18" s="20" t="n">
        <x:v>694</x:v>
      </x:c>
      <x:c r="N18" s="20" t="n">
        <x:v>4.9</x:v>
      </x:c>
      <x:c r="O18" s="20" t="n">
        <x:v>40</x:v>
      </x:c>
      <x:c r="P18" s="20" t="n">
        <x:v>0.9</x:v>
      </x:c>
      <x:c r="Q18" s="20" t="n">
        <x:v>90</x:v>
      </x:c>
      <x:c r="R18" s="20" t="n">
        <x:v>1.6</x:v>
      </x:c>
      <x:c r="S18" s="20" t="n">
        <x:v>80</x:v>
      </x:c>
    </x:row>
    <x:row r="19">
      <x:c r="A19" s="20" t="n">
        <x:v>15</x:v>
      </x:c>
      <x:c r="B19" s="20" t="n">
        <x:v>70</x:v>
      </x:c>
      <x:c r="C19" s="20" t="n">
        <x:v>37.42554</x:v>
      </x:c>
      <x:c r="D19" s="20" t="n">
        <x:v>-122.0834</x:v>
      </x:c>
      <x:c r="E19" s="20" t="n">
        <x:v>61.88322510740225</x:v>
      </x:c>
      <x:c r="F19" s="20" t="n">
        <x:v>48.98079999972765</x:v>
      </x:c>
      <x:c r="G19" s="20" t="n">
        <x:v>2.3</x:v>
      </x:c>
      <x:c r="H19" s="20" t="n">
        <x:v>16.9</x:v>
      </x:c>
      <x:c r="I19" s="20" t="n">
        <x:v>7.4</x:v>
      </x:c>
      <x:c r="J19" s="20" t="n">
        <x:v>8.9</x:v>
      </x:c>
      <x:c r="K19" s="20" t="n">
        <x:v>1.2</x:v>
      </x:c>
      <x:c r="L19" s="20" t="n">
        <x:v>344</x:v>
      </x:c>
      <x:c r="M19" s="20" t="n">
        <x:v>688</x:v>
      </x:c>
      <x:c r="N19" s="20" t="n">
        <x:v>4.8</x:v>
      </x:c>
      <x:c r="O19" s="20" t="n">
        <x:v>12</x:v>
      </x:c>
      <x:c r="P19" s="20" t="n">
        <x:v>0</x:v>
      </x:c>
      <x:c r="Q19" s="20" t="n">
        <x:v>89</x:v>
      </x:c>
      <x:c r="R19" s="20" t="n">
        <x:v>1.6</x:v>
      </x:c>
      <x:c r="S19" s="20" t="n">
        <x:v>82</x:v>
      </x:c>
    </x:row>
    <x:row r="20">
      <x:c r="A20" s="20" t="n">
        <x:v>16</x:v>
      </x:c>
      <x:c r="B20" s="20" t="n">
        <x:v>75</x:v>
      </x:c>
      <x:c r="C20" s="20" t="n">
        <x:v>37.42558</x:v>
      </x:c>
      <x:c r="D20" s="20" t="n">
        <x:v>-122.08335</x:v>
      </x:c>
      <x:c r="E20" s="20" t="n">
        <x:v>66.30345547230642</x:v>
      </x:c>
      <x:c r="F20" s="20" t="n">
        <x:v>53.43359999955908</x:v>
      </x:c>
      <x:c r="G20" s="20" t="n">
        <x:v>2.6</x:v>
      </x:c>
      <x:c r="H20" s="20" t="n">
        <x:v>17.1</x:v>
      </x:c>
      <x:c r="I20" s="20" t="n">
        <x:v>7.3</x:v>
      </x:c>
      <x:c r="J20" s="20" t="n">
        <x:v>8.8</x:v>
      </x:c>
      <x:c r="K20" s="20" t="n">
        <x:v>1.21</x:v>
      </x:c>
      <x:c r="L20" s="20" t="n">
        <x:v>346</x:v>
      </x:c>
      <x:c r="M20" s="20" t="n">
        <x:v>692</x:v>
      </x:c>
      <x:c r="N20" s="20" t="n">
        <x:v>5</x:v>
      </x:c>
      <x:c r="O20" s="20" t="n">
        <x:v>8</x:v>
      </x:c>
      <x:c r="P20" s="20" t="n">
        <x:v>0.3</x:v>
      </x:c>
      <x:c r="Q20" s="20" t="n">
        <x:v>89</x:v>
      </x:c>
      <x:c r="R20" s="20" t="n">
        <x:v>1.5</x:v>
      </x:c>
      <x:c r="S20" s="20" t="n">
        <x:v>84</x:v>
      </x:c>
    </x:row>
    <x:row r="21">
      <x:c r="A21" s="20" t="n">
        <x:v>17</x:v>
      </x:c>
      <x:c r="B21" s="20" t="n">
        <x:v>80</x:v>
      </x:c>
      <x:c r="C21" s="20" t="n">
        <x:v>37.42562</x:v>
      </x:c>
      <x:c r="D21" s="20" t="n">
        <x:v>-122.0833</x:v>
      </x:c>
      <x:c r="E21" s="20" t="n">
        <x:v>70.72368583721061</x:v>
      </x:c>
      <x:c r="F21" s="20" t="n">
        <x:v>57.88640000018148</x:v>
      </x:c>
      <x:c r="G21" s="20" t="n">
        <x:v>3</x:v>
      </x:c>
      <x:c r="H21" s="20" t="n">
        <x:v>17.3</x:v>
      </x:c>
      <x:c r="I21" s="20" t="n">
        <x:v>7.2</x:v>
      </x:c>
      <x:c r="J21" s="20" t="n">
        <x:v>8.7</x:v>
      </x:c>
      <x:c r="K21" s="20" t="n">
        <x:v>1.22</x:v>
      </x:c>
      <x:c r="L21" s="20" t="n">
        <x:v>350</x:v>
      </x:c>
      <x:c r="M21" s="20" t="n">
        <x:v>700</x:v>
      </x:c>
      <x:c r="N21" s="20" t="n">
        <x:v>5.4</x:v>
      </x:c>
      <x:c r="O21" s="20" t="n">
        <x:v>5</x:v>
      </x:c>
      <x:c r="P21" s="20" t="n">
        <x:v>0</x:v>
      </x:c>
      <x:c r="Q21" s="20" t="n">
        <x:v>88</x:v>
      </x:c>
      <x:c r="R21" s="20" t="n">
        <x:v>1.5</x:v>
      </x:c>
      <x:c r="S21" s="20" t="n">
        <x:v>86</x:v>
      </x:c>
    </x:row>
    <x:row r="22">
      <x:c r="A22" s="20" t="n">
        <x:v>18</x:v>
      </x:c>
      <x:c r="B22" s="20" t="n">
        <x:v>85</x:v>
      </x:c>
      <x:c r="C22" s="20" t="n">
        <x:v>37.42566</x:v>
      </x:c>
      <x:c r="D22" s="20" t="n">
        <x:v>-122.08325</x:v>
      </x:c>
      <x:c r="E22" s="20" t="n">
        <x:v>75.14391620085848</x:v>
      </x:c>
      <x:c r="F22" s="20" t="n">
        <x:v>62.33920000001291</x:v>
      </x:c>
      <x:c r="G22" s="20" t="n">
        <x:v>3.4</x:v>
      </x:c>
      <x:c r="H22" s="20" t="n">
        <x:v>17.6</x:v>
      </x:c>
      <x:c r="I22" s="20" t="n">
        <x:v>7.2</x:v>
      </x:c>
      <x:c r="J22" s="20" t="n">
        <x:v>8.6</x:v>
      </x:c>
      <x:c r="K22" s="20" t="n">
        <x:v>1.24</x:v>
      </x:c>
      <x:c r="L22" s="20" t="n">
        <x:v>355</x:v>
      </x:c>
      <x:c r="M22" s="20" t="n">
        <x:v>710</x:v>
      </x:c>
      <x:c r="N22" s="20" t="n">
        <x:v>5.9</x:v>
      </x:c>
      <x:c r="O22" s="20" t="n">
        <x:v>3</x:v>
      </x:c>
      <x:c r="P22" s="20" t="n">
        <x:v>0.2</x:v>
      </x:c>
      <x:c r="Q22" s="20" t="n">
        <x:v>88</x:v>
      </x:c>
      <x:c r="R22" s="20" t="n">
        <x:v>1.6</x:v>
      </x:c>
      <x:c r="S22" s="20" t="n">
        <x:v>88</x:v>
      </x:c>
    </x:row>
    <x:row r="23">
      <x:c r="A23" s="20" t="n">
        <x:v>19</x:v>
      </x:c>
      <x:c r="B23" s="20" t="n">
        <x:v>90</x:v>
      </x:c>
      <x:c r="C23" s="20" t="n">
        <x:v>37.4257</x:v>
      </x:c>
      <x:c r="D23" s="20" t="n">
        <x:v>-122.0832</x:v>
      </x:c>
      <x:c r="E23" s="20" t="n">
        <x:v>79.56414656576267</x:v>
      </x:c>
      <x:c r="F23" s="20" t="n">
        <x:v>66.79199999984434</x:v>
      </x:c>
      <x:c r="G23" s="20" t="n">
        <x:v>3.7</x:v>
      </x:c>
      <x:c r="H23" s="20" t="n">
        <x:v>17.8</x:v>
      </x:c>
      <x:c r="I23" s="20" t="n">
        <x:v>7.1</x:v>
      </x:c>
      <x:c r="J23" s="20" t="n">
        <x:v>8.5</x:v>
      </x:c>
      <x:c r="K23" s="20" t="n">
        <x:v>1.25</x:v>
      </x:c>
      <x:c r="L23" s="20" t="n">
        <x:v>359</x:v>
      </x:c>
      <x:c r="M23" s="20" t="n">
        <x:v>718</x:v>
      </x:c>
      <x:c r="N23" s="20" t="n">
        <x:v>6.3</x:v>
      </x:c>
      <x:c r="O23" s="20" t="n">
        <x:v>4</x:v>
      </x:c>
      <x:c r="P23" s="20" t="n">
        <x:v>0</x:v>
      </x:c>
      <x:c r="Q23" s="20" t="n">
        <x:v>87</x:v>
      </x:c>
      <x:c r="R23" s="20" t="n">
        <x:v>1.6</x:v>
      </x:c>
      <x:c r="S23" s="20" t="n">
        <x:v>90</x:v>
      </x:c>
    </x:row>
    <x:row r="24">
      <x:c r="A24" s="20" t="n">
        <x:v>20</x:v>
      </x:c>
      <x:c r="B24" s="20" t="n">
        <x:v>95</x:v>
      </x:c>
      <x:c r="C24" s="20" t="n">
        <x:v>37.42574</x:v>
      </x:c>
      <x:c r="D24" s="20" t="n">
        <x:v>-122.08315</x:v>
      </x:c>
      <x:c r="E24" s="20" t="n">
        <x:v>83.98437693066685</x:v>
      </x:c>
      <x:c r="F24" s="20" t="n">
        <x:v>71.24479999967576</x:v>
      </x:c>
      <x:c r="G24" s="20" t="n">
        <x:v>3.9</x:v>
      </x:c>
      <x:c r="H24" s="20" t="n">
        <x:v>17.9</x:v>
      </x:c>
      <x:c r="I24" s="20" t="n">
        <x:v>7.1</x:v>
      </x:c>
      <x:c r="J24" s="20" t="n">
        <x:v>8.4</x:v>
      </x:c>
      <x:c r="K24" s="20" t="n">
        <x:v>1.26</x:v>
      </x:c>
      <x:c r="L24" s="20" t="n">
        <x:v>362</x:v>
      </x:c>
      <x:c r="M24" s="20" t="n">
        <x:v>724</x:v>
      </x:c>
      <x:c r="N24" s="20" t="n">
        <x:v>6.6</x:v>
      </x:c>
      <x:c r="O24" s="20" t="n">
        <x:v>2</x:v>
      </x:c>
      <x:c r="P24" s="20" t="n">
        <x:v>0.1</x:v>
      </x:c>
      <x:c r="Q24" s="20" t="n">
        <x:v>87</x:v>
      </x:c>
      <x:c r="R24" s="20" t="n">
        <x:v>1.5</x:v>
      </x:c>
      <x:c r="S24" s="20" t="n">
        <x:v>92</x:v>
      </x:c>
    </x:row>
  </x:sheetData>
  <x:mergeCells>
    <x:mergeCell ref="A1:S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1.710000038146973" hidden="0" customWidth="1"/>
    <x:col min="3" max="3" width="11.710000038146973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  <x:col min="7" max="7" width="11.710000038146973" hidden="0" customWidth="1"/>
    <x:col min="8" max="8" width="11.710000038146973" hidden="0" customWidth="1"/>
    <x:col min="9" max="9" width="11.710000038146973" hidden="0" customWidth="1"/>
    <x:col min="10" max="10" width="11.710000038146973" hidden="0" customWidth="1"/>
    <x:col min="11" max="11" width="11.710000038146973" hidden="0" customWidth="1"/>
    <x:col min="12" max="12" width="11.710000038146973" hidden="0" customWidth="1"/>
    <x:col min="13" max="13" width="11.710000038146973" hidden="0" customWidth="1"/>
    <x:col min="14" max="14" width="11.710000038146973" hidden="0" customWidth="1"/>
    <x:col min="15" max="15" width="11.710000038146973" hidden="0" customWidth="1"/>
    <x:col min="16" max="16" width="11.710000038146973" hidden="0" customWidth="1"/>
    <x:col min="17" max="17" width="11.710000038146973" hidden="0" customWidth="1"/>
    <x:col min="18" max="18" width="11.710000038146973" hidden="0" customWidth="1"/>
    <x:col min="19" max="19" width="11.710000038146973" hidden="0" customWidth="1"/>
    <x:col min="20" max="20" width="11.710000038146973" hidden="0" customWidth="1"/>
    <x:col min="21" max="21" width="11.710000038146973" hidden="0" customWidth="1"/>
    <x:col min="22" max="22" width="11.710000038146973" hidden="0" customWidth="1"/>
    <x:col min="23" max="23" width="11.710000038146973" hidden="0" customWidth="1"/>
    <x:col min="24" max="24" width="11.710000038146973" hidden="0" customWidth="1"/>
  </x:cols>
  <x:sheetData>
    <x:row r="1">
      <x:c r="A1" s="25" t="str">
        <x:v>Probe Depth (m)</x:v>
      </x:c>
      <x:c r="B1" s="25" t="str">
        <x:v>Temperature</x:v>
      </x:c>
      <x:c r="C1" s="4" t="str">
        <x:v>Pond Chart Data Source</x:v>
      </x:c>
      <x:c r="D1" s="25" t="str">
        <x:v>Probe Depth (m)</x:v>
      </x:c>
      <x:c r="E1" s="25" t="str">
        <x:v>pH</x:v>
      </x:c>
      <x:c r="F1" s="4" t="str">
        <x:v>Pond Chart Data Source</x:v>
      </x:c>
      <x:c r="G1" s="25" t="str">
        <x:v>Probe Depth (m)</x:v>
      </x:c>
      <x:c r="H1" s="25" t="str">
        <x:v>Dissolved Oxygen</x:v>
      </x:c>
      <x:c r="I1" s="4" t="str">
        <x:v>Pond Chart Data Source</x:v>
      </x:c>
      <x:c r="J1" s="25" t="str">
        <x:v>Probe Depth (m)</x:v>
      </x:c>
      <x:c r="K1" s="25" t="str">
        <x:v>Turbidity</x:v>
      </x:c>
      <x:c r="L1" s="4" t="str">
        <x:v>Pond Chart Data Source</x:v>
      </x:c>
      <x:c r="M1" s="25" t="str">
        <x:v>Probe Depth (m)</x:v>
      </x:c>
      <x:c r="N1" s="25" t="str">
        <x:v>Light</x:v>
      </x:c>
      <x:c r="O1" s="4" t="str">
        <x:v>Pond Chart Data Source</x:v>
      </x:c>
      <x:c r="P1" s="25" t="str">
        <x:v>Probe Depth (m)</x:v>
      </x:c>
      <x:c r="Q1" s="25" t="str">
        <x:v>Ultraviolet</x:v>
      </x:c>
      <x:c r="R1" s="4" t="str">
        <x:v>Pond Chart Data Source</x:v>
      </x:c>
      <x:c r="S1" s="25" t="str">
        <x:v>Elapsed Time (s)</x:v>
      </x:c>
      <x:c r="T1" s="25" t="str">
        <x:v>Battery</x:v>
      </x:c>
      <x:c r="U1" s="4" t="str">
        <x:v>Pond Chart Data Source</x:v>
      </x:c>
      <x:c r="V1" s="25" t="str">
        <x:v>Elapsed Time (s)</x:v>
      </x:c>
      <x:c r="W1" s="25" t="str">
        <x:v>Vessel Speed</x:v>
      </x:c>
      <x:c r="X1" s="4" t="str">
        <x:v>Pond Chart Data Source</x:v>
      </x:c>
    </x:row>
    <x:row r="2">
      <x:c r="A2" s="27" t="n">
        <x:v>2.2</x:v>
      </x:c>
      <x:c r="B2" s="27" t="n">
        <x:v>16.8</x:v>
      </x:c>
      <x:c r="C2" s="4" t="str">
        <x:v>Pond Chart Data Source</x:v>
      </x:c>
      <x:c r="D2" s="27" t="n">
        <x:v>2.2</x:v>
      </x:c>
      <x:c r="E2" s="27" t="n">
        <x:v>7.4</x:v>
      </x:c>
      <x:c r="F2" s="4" t="str">
        <x:v>Pond Chart Data Source</x:v>
      </x:c>
      <x:c r="G2" s="27" t="n">
        <x:v>2.2</x:v>
      </x:c>
      <x:c r="H2" s="27" t="n">
        <x:v>8.9</x:v>
      </x:c>
      <x:c r="I2" s="4" t="str">
        <x:v>Pond Chart Data Source</x:v>
      </x:c>
      <x:c r="J2" s="27" t="n">
        <x:v>2.2</x:v>
      </x:c>
      <x:c r="K2" s="27" t="n">
        <x:v>4.8</x:v>
      </x:c>
      <x:c r="L2" s="4" t="str">
        <x:v>Pond Chart Data Source</x:v>
      </x:c>
      <x:c r="M2" s="27" t="n">
        <x:v>2.2</x:v>
      </x:c>
      <x:c r="N2" s="27" t="n">
        <x:v>6</x:v>
      </x:c>
      <x:c r="O2" s="4" t="str">
        <x:v>Pond Chart Data Source</x:v>
      </x:c>
      <x:c r="P2" s="27" t="n">
        <x:v>2.2</x:v>
      </x:c>
      <x:c r="Q2" s="27" t="n">
        <x:v>0</x:v>
      </x:c>
      <x:c r="R2" s="4" t="str">
        <x:v>Pond Chart Data Source</x:v>
      </x:c>
      <x:c r="S2" s="27" t="n">
        <x:v>0</x:v>
      </x:c>
      <x:c r="T2" s="27" t="n">
        <x:v>96</x:v>
      </x:c>
      <x:c r="U2" s="4" t="str">
        <x:v>Pond Chart Data Source</x:v>
      </x:c>
      <x:c r="V2" s="27" t="n">
        <x:v>0</x:v>
      </x:c>
      <x:c r="W2" s="27" t="n">
        <x:v>1.4</x:v>
      </x:c>
      <x:c r="X2" s="4" t="str">
        <x:v>Pond Chart Data Source</x:v>
      </x:c>
    </x:row>
    <x:row r="3">
      <x:c r="A3" s="20" t="n">
        <x:v>2.3</x:v>
      </x:c>
      <x:c r="B3" s="20" t="n">
        <x:v>16.9</x:v>
      </x:c>
      <x:c r="D3" s="20" t="n">
        <x:v>2.3</x:v>
      </x:c>
      <x:c r="E3" s="20" t="n">
        <x:v>7.4</x:v>
      </x:c>
      <x:c r="G3" s="20" t="n">
        <x:v>2.3</x:v>
      </x:c>
      <x:c r="H3" s="20" t="n">
        <x:v>8.9</x:v>
      </x:c>
      <x:c r="J3" s="20" t="n">
        <x:v>2.3</x:v>
      </x:c>
      <x:c r="K3" s="20" t="n">
        <x:v>4.8</x:v>
      </x:c>
      <x:c r="M3" s="20" t="n">
        <x:v>2.3</x:v>
      </x:c>
      <x:c r="N3" s="20" t="n">
        <x:v>12</x:v>
      </x:c>
      <x:c r="P3" s="20" t="n">
        <x:v>2.3</x:v>
      </x:c>
      <x:c r="Q3" s="20" t="n">
        <x:v>0</x:v>
      </x:c>
      <x:c r="S3" s="20" t="n">
        <x:v>5</x:v>
      </x:c>
      <x:c r="T3" s="20" t="n">
        <x:v>96</x:v>
      </x:c>
      <x:c r="V3" s="20" t="n">
        <x:v>5</x:v>
      </x:c>
      <x:c r="W3" s="20" t="n">
        <x:v>1.5</x:v>
      </x:c>
    </x:row>
    <x:row r="4">
      <x:c r="A4" s="20" t="n">
        <x:v>2.4</x:v>
      </x:c>
      <x:c r="B4" s="20" t="n">
        <x:v>17</x:v>
      </x:c>
      <x:c r="D4" s="20" t="n">
        <x:v>2.4</x:v>
      </x:c>
      <x:c r="E4" s="20" t="n">
        <x:v>7.4</x:v>
      </x:c>
      <x:c r="G4" s="20" t="n">
        <x:v>2.4</x:v>
      </x:c>
      <x:c r="H4" s="20" t="n">
        <x:v>8.8</x:v>
      </x:c>
      <x:c r="J4" s="20" t="n">
        <x:v>2.4</x:v>
      </x:c>
      <x:c r="K4" s="20" t="n">
        <x:v>4.9</x:v>
      </x:c>
      <x:c r="M4" s="20" t="n">
        <x:v>2.4</x:v>
      </x:c>
      <x:c r="N4" s="20" t="n">
        <x:v>4</x:v>
      </x:c>
      <x:c r="P4" s="20" t="n">
        <x:v>2.4</x:v>
      </x:c>
      <x:c r="Q4" s="20" t="n">
        <x:v>0.1</x:v>
      </x:c>
      <x:c r="S4" s="20" t="n">
        <x:v>10</x:v>
      </x:c>
      <x:c r="T4" s="20" t="n">
        <x:v>95</x:v>
      </x:c>
      <x:c r="V4" s="20" t="n">
        <x:v>10</x:v>
      </x:c>
      <x:c r="W4" s="20" t="n">
        <x:v>1.4</x:v>
      </x:c>
    </x:row>
    <x:row r="5">
      <x:c r="A5" s="20" t="n">
        <x:v>2.5</x:v>
      </x:c>
      <x:c r="B5" s="20" t="n">
        <x:v>17</x:v>
      </x:c>
      <x:c r="D5" s="20" t="n">
        <x:v>2.5</x:v>
      </x:c>
      <x:c r="E5" s="20" t="n">
        <x:v>7.4</x:v>
      </x:c>
      <x:c r="G5" s="20" t="n">
        <x:v>2.5</x:v>
      </x:c>
      <x:c r="H5" s="20" t="n">
        <x:v>8.8</x:v>
      </x:c>
      <x:c r="J5" s="20" t="n">
        <x:v>2.5</x:v>
      </x:c>
      <x:c r="K5" s="20" t="n">
        <x:v>4.9</x:v>
      </x:c>
      <x:c r="M5" s="20" t="n">
        <x:v>2.5</x:v>
      </x:c>
      <x:c r="N5" s="20" t="n">
        <x:v>40</x:v>
      </x:c>
      <x:c r="P5" s="20" t="n">
        <x:v>2.5</x:v>
      </x:c>
      <x:c r="Q5" s="20" t="n">
        <x:v>0.9</x:v>
      </x:c>
      <x:c r="S5" s="20" t="n">
        <x:v>15</x:v>
      </x:c>
      <x:c r="T5" s="20" t="n">
        <x:v>95</x:v>
      </x:c>
      <x:c r="V5" s="20" t="n">
        <x:v>15</x:v>
      </x:c>
      <x:c r="W5" s="20" t="n">
        <x:v>1.3</x:v>
      </x:c>
    </x:row>
    <x:row r="6">
      <x:c r="A6" s="20" t="n">
        <x:v>2.6</x:v>
      </x:c>
      <x:c r="B6" s="20" t="n">
        <x:v>17.1</x:v>
      </x:c>
      <x:c r="D6" s="20" t="n">
        <x:v>2.6</x:v>
      </x:c>
      <x:c r="E6" s="20" t="n">
        <x:v>7.3</x:v>
      </x:c>
      <x:c r="G6" s="20" t="n">
        <x:v>2.6</x:v>
      </x:c>
      <x:c r="H6" s="20" t="n">
        <x:v>8.8</x:v>
      </x:c>
      <x:c r="J6" s="20" t="n">
        <x:v>2.6</x:v>
      </x:c>
      <x:c r="K6" s="20" t="n">
        <x:v>5</x:v>
      </x:c>
      <x:c r="M6" s="20" t="n">
        <x:v>2.6</x:v>
      </x:c>
      <x:c r="N6" s="20" t="n">
        <x:v>8</x:v>
      </x:c>
      <x:c r="P6" s="20" t="n">
        <x:v>2.6</x:v>
      </x:c>
      <x:c r="Q6" s="20" t="n">
        <x:v>0.3</x:v>
      </x:c>
      <x:c r="S6" s="20" t="n">
        <x:v>20</x:v>
      </x:c>
      <x:c r="T6" s="20" t="n">
        <x:v>94</x:v>
      </x:c>
      <x:c r="V6" s="20" t="n">
        <x:v>20</x:v>
      </x:c>
      <x:c r="W6" s="20" t="n">
        <x:v>1.4</x:v>
      </x:c>
    </x:row>
    <x:row r="7">
      <x:c r="A7" s="20" t="n">
        <x:v>2.7</x:v>
      </x:c>
      <x:c r="B7" s="20" t="n">
        <x:v>17.1</x:v>
      </x:c>
      <x:c r="D7" s="20" t="n">
        <x:v>2.7</x:v>
      </x:c>
      <x:c r="E7" s="20" t="n">
        <x:v>7.3</x:v>
      </x:c>
      <x:c r="G7" s="20" t="n">
        <x:v>2.7</x:v>
      </x:c>
      <x:c r="H7" s="20" t="n">
        <x:v>8.7</x:v>
      </x:c>
      <x:c r="J7" s="20" t="n">
        <x:v>2.7</x:v>
      </x:c>
      <x:c r="K7" s="20" t="n">
        <x:v>5.1</x:v>
      </x:c>
      <x:c r="M7" s="20" t="n">
        <x:v>2.7</x:v>
      </x:c>
      <x:c r="N7" s="20" t="n">
        <x:v>9</x:v>
      </x:c>
      <x:c r="P7" s="20" t="n">
        <x:v>2.7</x:v>
      </x:c>
      <x:c r="Q7" s="20" t="n">
        <x:v>0</x:v>
      </x:c>
      <x:c r="S7" s="20" t="n">
        <x:v>25</x:v>
      </x:c>
      <x:c r="T7" s="20" t="n">
        <x:v>94</x:v>
      </x:c>
      <x:c r="V7" s="20" t="n">
        <x:v>25</x:v>
      </x:c>
      <x:c r="W7" s="20" t="n">
        <x:v>1.5</x:v>
      </x:c>
    </x:row>
    <x:row r="8">
      <x:c r="A8" s="20" t="n">
        <x:v>2.8</x:v>
      </x:c>
      <x:c r="B8" s="20" t="n">
        <x:v>17.2</x:v>
      </x:c>
      <x:c r="D8" s="20" t="n">
        <x:v>2.8</x:v>
      </x:c>
      <x:c r="E8" s="20" t="n">
        <x:v>7.4</x:v>
      </x:c>
      <x:c r="G8" s="20" t="n">
        <x:v>2.8</x:v>
      </x:c>
      <x:c r="H8" s="20" t="n">
        <x:v>8.7</x:v>
      </x:c>
      <x:c r="J8" s="20" t="n">
        <x:v>2.8</x:v>
      </x:c>
      <x:c r="K8" s="20" t="n">
        <x:v>5.1</x:v>
      </x:c>
      <x:c r="M8" s="20" t="n">
        <x:v>2.8</x:v>
      </x:c>
      <x:c r="N8" s="20" t="n">
        <x:v>360</x:v>
      </x:c>
      <x:c r="P8" s="20" t="n">
        <x:v>2.8</x:v>
      </x:c>
      <x:c r="Q8" s="20" t="n">
        <x:v>0.2</x:v>
      </x:c>
      <x:c r="S8" s="20" t="n">
        <x:v>30</x:v>
      </x:c>
      <x:c r="T8" s="20" t="n">
        <x:v>93</x:v>
      </x:c>
      <x:c r="V8" s="20" t="n">
        <x:v>30</x:v>
      </x:c>
      <x:c r="W8" s="20" t="n">
        <x:v>1.4</x:v>
      </x:c>
    </x:row>
    <x:row r="9">
      <x:c r="A9" s="20" t="n">
        <x:v>3</x:v>
      </x:c>
      <x:c r="B9" s="20" t="n">
        <x:v>17.35</x:v>
      </x:c>
      <x:c r="D9" s="20" t="n">
        <x:v>3</x:v>
      </x:c>
      <x:c r="E9" s="20" t="n">
        <x:v>7.25</x:v>
      </x:c>
      <x:c r="G9" s="20" t="n">
        <x:v>3</x:v>
      </x:c>
      <x:c r="H9" s="20" t="n">
        <x:v>8.649999999999999</x:v>
      </x:c>
      <x:c r="J9" s="20" t="n">
        <x:v>3</x:v>
      </x:c>
      <x:c r="K9" s="20" t="n">
        <x:v>5.45</x:v>
      </x:c>
      <x:c r="M9" s="20" t="n">
        <x:v>3</x:v>
      </x:c>
      <x:c r="N9" s="20" t="n">
        <x:v>11.5</x:v>
      </x:c>
      <x:c r="P9" s="20" t="n">
        <x:v>3</x:v>
      </x:c>
      <x:c r="Q9" s="20" t="n">
        <x:v>0.1</x:v>
      </x:c>
      <x:c r="S9" s="20" t="n">
        <x:v>35</x:v>
      </x:c>
      <x:c r="T9" s="20" t="n">
        <x:v>93</x:v>
      </x:c>
      <x:c r="V9" s="20" t="n">
        <x:v>35</x:v>
      </x:c>
      <x:c r="W9" s="20" t="n">
        <x:v>1.4</x:v>
      </x:c>
    </x:row>
    <x:row r="10">
      <x:c r="A10" s="20" t="n">
        <x:v>3.1</x:v>
      </x:c>
      <x:c r="B10" s="20" t="n">
        <x:v>17.4</x:v>
      </x:c>
      <x:c r="D10" s="20" t="n">
        <x:v>3.1</x:v>
      </x:c>
      <x:c r="E10" s="20" t="n">
        <x:v>7.3</x:v>
      </x:c>
      <x:c r="G10" s="20" t="n">
        <x:v>3.1</x:v>
      </x:c>
      <x:c r="H10" s="20" t="n">
        <x:v>8.6</x:v>
      </x:c>
      <x:c r="J10" s="20" t="n">
        <x:v>3.1</x:v>
      </x:c>
      <x:c r="K10" s="20" t="n">
        <x:v>5.4</x:v>
      </x:c>
      <x:c r="M10" s="20" t="n">
        <x:v>3.1</x:v>
      </x:c>
      <x:c r="N10" s="20" t="n">
        <x:v>150</x:v>
      </x:c>
      <x:c r="P10" s="20" t="n">
        <x:v>3.1</x:v>
      </x:c>
      <x:c r="Q10" s="20" t="n">
        <x:v>1.2</x:v>
      </x:c>
      <x:c r="S10" s="20" t="n">
        <x:v>40</x:v>
      </x:c>
      <x:c r="T10" s="20" t="n">
        <x:v>92</x:v>
      </x:c>
      <x:c r="V10" s="20" t="n">
        <x:v>40</x:v>
      </x:c>
      <x:c r="W10" s="20" t="n">
        <x:v>1.5</x:v>
      </x:c>
    </x:row>
    <x:row r="11">
      <x:c r="A11" s="20" t="n">
        <x:v>3.4</x:v>
      </x:c>
      <x:c r="B11" s="20" t="n">
        <x:v>17.633333333333333</x:v>
      </x:c>
      <x:c r="D11" s="20" t="n">
        <x:v>3.4</x:v>
      </x:c>
      <x:c r="E11" s="20" t="n">
        <x:v>7.233333333333333</x:v>
      </x:c>
      <x:c r="G11" s="20" t="n">
        <x:v>3.4</x:v>
      </x:c>
      <x:c r="H11" s="20" t="n">
        <x:v>8.533333333333333</x:v>
      </x:c>
      <x:c r="J11" s="20" t="n">
        <x:v>3.4</x:v>
      </x:c>
      <x:c r="K11" s="20" t="n">
        <x:v>5.933333333333334</x:v>
      </x:c>
      <x:c r="M11" s="20" t="n">
        <x:v>3.4</x:v>
      </x:c>
      <x:c r="N11" s="20" t="n">
        <x:v>297.6666666666667</x:v>
      </x:c>
      <x:c r="P11" s="20" t="n">
        <x:v>3.4</x:v>
      </x:c>
      <x:c r="Q11" s="20" t="n">
        <x:v>0.5</x:v>
      </x:c>
      <x:c r="S11" s="20" t="n">
        <x:v>45</x:v>
      </x:c>
      <x:c r="T11" s="20" t="n">
        <x:v>92</x:v>
      </x:c>
      <x:c r="V11" s="20" t="n">
        <x:v>45</x:v>
      </x:c>
      <x:c r="W11" s="20" t="n">
        <x:v>1.5</x:v>
      </x:c>
    </x:row>
    <x:row r="12">
      <x:c r="A12" s="20" t="n">
        <x:v>3.7</x:v>
      </x:c>
      <x:c r="B12" s="20" t="n">
        <x:v>17.85</x:v>
      </x:c>
      <x:c r="D12" s="20" t="n">
        <x:v>3.7</x:v>
      </x:c>
      <x:c r="E12" s="20" t="n">
        <x:v>7.15</x:v>
      </x:c>
      <x:c r="G12" s="20" t="n">
        <x:v>3.7</x:v>
      </x:c>
      <x:c r="H12" s="20" t="n">
        <x:v>8.45</x:v>
      </x:c>
      <x:c r="J12" s="20" t="n">
        <x:v>3.7</x:v>
      </x:c>
      <x:c r="K12" s="20" t="n">
        <x:v>6.4</x:v>
      </x:c>
      <x:c r="M12" s="20" t="n">
        <x:v>3.7</x:v>
      </x:c>
      <x:c r="N12" s="20" t="n">
        <x:v>107</x:v>
      </x:c>
      <x:c r="P12" s="20" t="n">
        <x:v>3.7</x:v>
      </x:c>
      <x:c r="Q12" s="20" t="n">
        <x:v>0.9</x:v>
      </x:c>
      <x:c r="S12" s="20" t="n">
        <x:v>50</x:v>
      </x:c>
      <x:c r="T12" s="20" t="n">
        <x:v>91</x:v>
      </x:c>
      <x:c r="V12" s="20" t="n">
        <x:v>50</x:v>
      </x:c>
      <x:c r="W12" s="20" t="n">
        <x:v>1.4</x:v>
      </x:c>
    </x:row>
    <x:row r="13">
      <x:c r="A13" s="20" t="n">
        <x:v>3.8</x:v>
      </x:c>
      <x:c r="B13" s="20" t="n">
        <x:v>18</x:v>
      </x:c>
      <x:c r="D13" s="20" t="n">
        <x:v>3.8</x:v>
      </x:c>
      <x:c r="E13" s="20" t="n">
        <x:v>7.2</x:v>
      </x:c>
      <x:c r="G13" s="20" t="n">
        <x:v>3.8</x:v>
      </x:c>
      <x:c r="H13" s="20" t="n">
        <x:v>8.4</x:v>
      </x:c>
      <x:c r="J13" s="20" t="n">
        <x:v>3.8</x:v>
      </x:c>
      <x:c r="K13" s="20" t="n">
        <x:v>6.6</x:v>
      </x:c>
      <x:c r="M13" s="20" t="n">
        <x:v>3.8</x:v>
      </x:c>
      <x:c r="N13" s="20" t="n">
        <x:v>120</x:v>
      </x:c>
      <x:c r="P13" s="20" t="n">
        <x:v>3.8</x:v>
      </x:c>
      <x:c r="Q13" s="20" t="n">
        <x:v>2.1</x:v>
      </x:c>
      <x:c r="S13" s="20" t="n">
        <x:v>55</x:v>
      </x:c>
      <x:c r="T13" s="20" t="n">
        <x:v>91</x:v>
      </x:c>
      <x:c r="V13" s="20" t="n">
        <x:v>55</x:v>
      </x:c>
      <x:c r="W13" s="20" t="n">
        <x:v>1.4</x:v>
      </x:c>
    </x:row>
    <x:row r="14">
      <x:c r="A14" s="20" t="n">
        <x:v>3.9</x:v>
      </x:c>
      <x:c r="B14" s="20" t="n">
        <x:v>17.9</x:v>
      </x:c>
      <x:c r="D14" s="20" t="n">
        <x:v>3.9</x:v>
      </x:c>
      <x:c r="E14" s="20" t="n">
        <x:v>7.1</x:v>
      </x:c>
      <x:c r="G14" s="20" t="n">
        <x:v>3.9</x:v>
      </x:c>
      <x:c r="H14" s="20" t="n">
        <x:v>8.4</x:v>
      </x:c>
      <x:c r="J14" s="20" t="n">
        <x:v>3.9</x:v>
      </x:c>
      <x:c r="K14" s="20" t="n">
        <x:v>6.6</x:v>
      </x:c>
      <x:c r="M14" s="20" t="n">
        <x:v>3.9</x:v>
      </x:c>
      <x:c r="N14" s="20" t="n">
        <x:v>2</x:v>
      </x:c>
      <x:c r="P14" s="20" t="n">
        <x:v>3.9</x:v>
      </x:c>
      <x:c r="Q14" s="20" t="n">
        <x:v>0.1</x:v>
      </x:c>
      <x:c r="S14" s="20" t="n">
        <x:v>60</x:v>
      </x:c>
      <x:c r="T14" s="20" t="n">
        <x:v>90</x:v>
      </x:c>
      <x:c r="V14" s="20" t="n">
        <x:v>60</x:v>
      </x:c>
      <x:c r="W14" s="20" t="n">
        <x:v>1.5</x:v>
      </x:c>
    </x:row>
    <x:row r="15">
      <x:c r="A15" s="20" t="n">
        <x:v>4</x:v>
      </x:c>
      <x:c r="B15" s="20" t="n">
        <x:v>18.1</x:v>
      </x:c>
      <x:c r="D15" s="20" t="n">
        <x:v>4</x:v>
      </x:c>
      <x:c r="E15" s="20" t="n">
        <x:v>7.2</x:v>
      </x:c>
      <x:c r="G15" s="20" t="n">
        <x:v>4</x:v>
      </x:c>
      <x:c r="H15" s="20" t="n">
        <x:v>8.3</x:v>
      </x:c>
      <x:c r="J15" s="20" t="n">
        <x:v>4</x:v>
      </x:c>
      <x:c r="K15" s="20" t="n">
        <x:v>7</x:v>
      </x:c>
      <x:c r="M15" s="20" t="n">
        <x:v>4</x:v>
      </x:c>
      <x:c r="N15" s="20" t="n">
        <x:v>610</x:v>
      </x:c>
      <x:c r="P15" s="20" t="n">
        <x:v>4</x:v>
      </x:c>
      <x:c r="Q15" s="20" t="n">
        <x:v>0.3</x:v>
      </x:c>
      <x:c r="S15" s="20" t="n">
        <x:v>65</x:v>
      </x:c>
      <x:c r="T15" s="20" t="n">
        <x:v>90</x:v>
      </x:c>
      <x:c r="V15" s="20" t="n">
        <x:v>65</x:v>
      </x:c>
      <x:c r="W15" s="20" t="n">
        <x:v>1.6</x:v>
      </x:c>
    </x:row>
    <x:row r="16">
      <x:c r="A16" s="20" t="n">
        <x:v>4.1</x:v>
      </x:c>
      <x:c r="B16" s="20" t="n">
        <x:v>18.2</x:v>
      </x:c>
      <x:c r="D16" s="20" t="n">
        <x:v>4.1</x:v>
      </x:c>
      <x:c r="E16" s="20" t="n">
        <x:v>7.1</x:v>
      </x:c>
      <x:c r="G16" s="20" t="n">
        <x:v>4.1</x:v>
      </x:c>
      <x:c r="H16" s="20" t="n">
        <x:v>8.3</x:v>
      </x:c>
      <x:c r="J16" s="20" t="n">
        <x:v>4.1</x:v>
      </x:c>
      <x:c r="K16" s="20" t="n">
        <x:v>7.1</x:v>
      </x:c>
      <x:c r="M16" s="20" t="n">
        <x:v>4.1</x:v>
      </x:c>
      <x:c r="N16" s="20" t="n">
        <x:v>560</x:v>
      </x:c>
      <x:c r="P16" s="20" t="n">
        <x:v>4.1</x:v>
      </x:c>
      <x:c r="Q16" s="20" t="n">
        <x:v>0.5</x:v>
      </x:c>
      <x:c r="S16" s="20" t="n">
        <x:v>70</x:v>
      </x:c>
      <x:c r="T16" s="20" t="n">
        <x:v>89</x:v>
      </x:c>
      <x:c r="V16" s="20" t="n">
        <x:v>70</x:v>
      </x:c>
      <x:c r="W16" s="20" t="n">
        <x:v>1.6</x:v>
      </x:c>
    </x:row>
    <x:row r="17">
      <x:c r="A17" s="20" t="n">
        <x:v>4.3</x:v>
      </x:c>
      <x:c r="B17" s="20" t="n">
        <x:v>18.3</x:v>
      </x:c>
      <x:c r="D17" s="20" t="n">
        <x:v>4.3</x:v>
      </x:c>
      <x:c r="E17" s="20" t="n">
        <x:v>7.1</x:v>
      </x:c>
      <x:c r="G17" s="20" t="n">
        <x:v>4.3</x:v>
      </x:c>
      <x:c r="H17" s="20" t="n">
        <x:v>8.2</x:v>
      </x:c>
      <x:c r="J17" s="20" t="n">
        <x:v>4.3</x:v>
      </x:c>
      <x:c r="K17" s="20" t="n">
        <x:v>7.4</x:v>
      </x:c>
      <x:c r="M17" s="20" t="n">
        <x:v>4.3</x:v>
      </x:c>
      <x:c r="N17" s="20" t="n">
        <x:v>170</x:v>
      </x:c>
      <x:c r="P17" s="20" t="n">
        <x:v>4.3</x:v>
      </x:c>
      <x:c r="Q17" s="20" t="n">
        <x:v>2.4</x:v>
      </x:c>
      <x:c r="S17" s="20" t="n">
        <x:v>75</x:v>
      </x:c>
      <x:c r="T17" s="20" t="n">
        <x:v>89</x:v>
      </x:c>
      <x:c r="V17" s="20" t="n">
        <x:v>75</x:v>
      </x:c>
      <x:c r="W17" s="20" t="n">
        <x:v>1.5</x:v>
      </x:c>
    </x:row>
    <x:row r="18">
      <x:c r="S18" s="20" t="n">
        <x:v>80</x:v>
      </x:c>
      <x:c r="T18" s="20" t="n">
        <x:v>88</x:v>
      </x:c>
      <x:c r="V18" s="20" t="n">
        <x:v>80</x:v>
      </x:c>
      <x:c r="W18" s="20" t="n">
        <x:v>1.5</x:v>
      </x:c>
    </x:row>
    <x:row r="19">
      <x:c r="S19" s="20" t="n">
        <x:v>85</x:v>
      </x:c>
      <x:c r="T19" s="20" t="n">
        <x:v>88</x:v>
      </x:c>
      <x:c r="V19" s="20" t="n">
        <x:v>85</x:v>
      </x:c>
      <x:c r="W19" s="20" t="n">
        <x:v>1.6</x:v>
      </x:c>
    </x:row>
    <x:row r="20">
      <x:c r="S20" s="20" t="n">
        <x:v>90</x:v>
      </x:c>
      <x:c r="T20" s="20" t="n">
        <x:v>87</x:v>
      </x:c>
      <x:c r="V20" s="20" t="n">
        <x:v>90</x:v>
      </x:c>
      <x:c r="W20" s="20" t="n">
        <x:v>1.6</x:v>
      </x:c>
    </x:row>
    <x:row r="21">
      <x:c r="S21" s="20" t="n">
        <x:v>95</x:v>
      </x:c>
      <x:c r="T21" s="20" t="n">
        <x:v>87</x:v>
      </x:c>
      <x:c r="V21" s="20" t="n">
        <x:v>95</x:v>
      </x:c>
      <x:c r="W21" s="20" t="n">
        <x:v>1.5</x:v>
      </x:c>
    </x:row>
  </x:sheetData>
  <x:mergeCells>
    <x:mergeCell ref="A1:X2"/>
  </x:mergeCells>
  <x:pageMargins left="0.7" right="0.7" top="0.75" bottom="0.75" header="0.3" footer="0.3"/>
</x:worksheet>
</file>